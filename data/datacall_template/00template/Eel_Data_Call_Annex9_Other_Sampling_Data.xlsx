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_rels/drawing13.xml.rels" ContentType="application/vnd.openxmlformats-package.relationships+xml"/>
  <Override PartName="/xl/drawings/_rels/drawing11.xml.rels" ContentType="application/vnd.openxmlformats-package.relationships+xml"/>
  <Override PartName="/xl/drawings/_rels/drawing10.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ampling_info" sheetId="2" state="visible" r:id="rId4"/>
    <sheet name="existing_group_metrics" sheetId="3" state="visible" r:id="rId5"/>
    <sheet name="new_group_metrics" sheetId="4" state="visible" r:id="rId6"/>
    <sheet name="updated_group_metrics" sheetId="5" state="visible" r:id="rId7"/>
    <sheet name="deleted_group_metrics" sheetId="6" state="visible" r:id="rId8"/>
    <sheet name="existing_individual_metrics" sheetId="7" state="visible" r:id="rId9"/>
    <sheet name="new_individual_metrics" sheetId="8" state="visible" r:id="rId10"/>
    <sheet name="updated_individual_metrics" sheetId="9" state="visible" r:id="rId11"/>
    <sheet name="deleted_individual_metrics" sheetId="10" state="visible" r:id="rId12"/>
    <sheet name="tr_emu_emu" sheetId="11" state="visible" r:id="rId13"/>
    <sheet name="tr_country_cou" sheetId="12" state="visible" r:id="rId14"/>
    <sheet name="tr_metrictype_mty" sheetId="13" state="visible" r:id="rId15"/>
    <sheet name="tr_faoareas" sheetId="14" state="visible" r:id="rId16"/>
    <sheet name="tr_habitattype_hty" sheetId="15" state="visible" r:id="rId17"/>
    <sheet name="tr_lifestage_lfs" sheetId="16" state="visible" r:id="rId18"/>
    <sheet name="tr_units_uni" sheetId="17" state="visible" r:id="rId19"/>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<sst xmlns="http://schemas.openxmlformats.org/spreadsheetml/2006/main" count="2044" uniqueCount="770">
  <si>
    <t xml:space="preserve">sampling_info</t>
  </si>
  <si>
    <t xml:space="preserve">Explanation of header and name of sheet providing codes</t>
  </si>
  <si>
    <t xml:space="preserve">sai_name</t>
  </si>
  <si>
    <t xml:space="preserve">Identifier of the sampling scheme. If the sampling scheme does not already exist, please provide a code starting with emu name and few letters and/or an integer (e.g. FR_Adou_biom, FR_Adou_cont)</t>
  </si>
  <si>
    <t xml:space="preserve">sai_emu_nameshort</t>
  </si>
  <si>
    <t xml:space="preserve">See the codes of the emu (emu_nameshort) in sheet tr_emu_emu
</t>
  </si>
  <si>
    <t xml:space="preserve">sai_cou_code</t>
  </si>
  <si>
    <t xml:space="preserve">See the cou_code in the tr_country_cou table</t>
  </si>
  <si>
    <t xml:space="preserve">sai_area_division</t>
  </si>
  <si>
    <r>
      <rPr>
        <sz val="10"/>
        <color rgb="FF000000"/>
        <rFont val="Arial"/>
        <family val="2"/>
        <charset val="1"/>
      </rPr>
      <t xml:space="preserve">Fao code of sea region (division level) see  tr_fao_area (column division)(https://github.com/ices-eg/WGEEL/wiki). </t>
    </r>
    <r>
      <rPr>
        <sz val="10"/>
        <color rgb="FFFF0000"/>
        <rFont val="Arial"/>
        <family val="2"/>
        <charset val="1"/>
      </rPr>
      <t xml:space="preserve">Do not provide an ICES area for freshwater, this is only for habitat  T, C and MO.</t>
    </r>
  </si>
  <si>
    <t xml:space="preserve">sai_hty_code</t>
  </si>
  <si>
    <t xml:space="preserve">Habitat type see tr_habitattype_hty  (F=Freshwater, MO=Marine Open,T=transitional, AL=aggregate...)</t>
  </si>
  <si>
    <t xml:space="preserve">sai_samplingobjective</t>
  </si>
  <si>
    <t xml:space="preserve">Indicate the program the data is coming from (e.g. EU DCF, GFCM etc.)</t>
  </si>
  <si>
    <t xml:space="preserve">sai_samplingstrategy</t>
  </si>
  <si>
    <t xml:space="preserve">Indicate sampling scheme (e.g. commercial fisheries, scientific survey)</t>
  </si>
  <si>
    <t xml:space="preserve">sai_protocol</t>
  </si>
  <si>
    <t xml:space="preserve">Description of the method used to capture fish and period of sampling</t>
  </si>
  <si>
    <t xml:space="preserve">sai_qal_id</t>
  </si>
  <si>
    <t xml:space="preserve">Sampling scheme quality id, used internally by the working group</t>
  </si>
  <si>
    <t xml:space="preserve">sai_comment</t>
  </si>
  <si>
    <t xml:space="preserve">Comment on the sampling scheme </t>
  </si>
  <si>
    <t xml:space="preserve">sai_lastupdate</t>
  </si>
  <si>
    <t xml:space="preserve">Generated automatically</t>
  </si>
  <si>
    <t xml:space="preserve">sai_dts_datasource</t>
  </si>
  <si>
    <t xml:space="preserve">grouped_metrics</t>
  </si>
  <si>
    <t xml:space="preserve">gr_id</t>
  </si>
  <si>
    <t xml:space="preserve">Identifier of the group metrics data, this will be filled in automatically in the new_group_metrics and will be used in the updated_group_metrics. Do not edit.</t>
  </si>
  <si>
    <t xml:space="preserve">Identifier of the sampling scheme as provided under sampling_info</t>
  </si>
  <si>
    <t xml:space="preserve">gr_year</t>
  </si>
  <si>
    <r>
      <rPr>
        <sz val="10"/>
        <color rgb="FF000000"/>
        <rFont val="Arial"/>
        <family val="2"/>
        <charset val="1"/>
      </rPr>
      <t xml:space="preserve">Sampling year </t>
    </r>
    <r>
      <rPr>
        <sz val="10"/>
        <color rgb="FFFF0000"/>
        <rFont val="Arial"/>
        <family val="2"/>
        <charset val="1"/>
      </rPr>
      <t xml:space="preserve">(For glass eel, months from september y-1 to august y should be denoted year y / For silver eel, months from june y to may y+1 should be denoted year y / For yellow eels, use the calendar yea</t>
    </r>
    <r>
      <rPr>
        <sz val="10"/>
        <color rgb="FF000000"/>
        <rFont val="Arial"/>
        <family val="2"/>
        <charset val="1"/>
      </rPr>
      <t xml:space="preserve">r)</t>
    </r>
  </si>
  <si>
    <t xml:space="preserve">grsa_lfs_code</t>
  </si>
  <si>
    <t xml:space="preserve">Life stage, see tr_lifestage_lfs sheet </t>
  </si>
  <si>
    <t xml:space="preserve">gr_number</t>
  </si>
  <si>
    <t xml:space="preserve">Number of measured individuals</t>
  </si>
  <si>
    <t xml:space="preserve">gr_comment</t>
  </si>
  <si>
    <t xml:space="preserve">Comment </t>
  </si>
  <si>
    <t xml:space="preserve">gr_last update</t>
  </si>
  <si>
    <t xml:space="preserve">Generated automatically, do not use</t>
  </si>
  <si>
    <t xml:space="preserve">gr_dts_datasource</t>
  </si>
  <si>
    <t xml:space="preserve">lengthmm</t>
  </si>
  <si>
    <t xml:space="preserve">Mean total body length in mm</t>
  </si>
  <si>
    <t xml:space="preserve">weightg</t>
  </si>
  <si>
    <t xml:space="preserve">Mean weight in g</t>
  </si>
  <si>
    <t xml:space="preserve">ageyear</t>
  </si>
  <si>
    <t xml:space="preserve">Mean age (in years)</t>
  </si>
  <si>
    <t xml:space="preserve">female_proportion</t>
  </si>
  <si>
    <t xml:space="preserve">Sex ratio expressed as a proportion of female (in numbers); between 0 (all males) and 1 (all females)</t>
  </si>
  <si>
    <t xml:space="preserve">method_sex_(1=visual,0=use_length)</t>
  </si>
  <si>
    <t xml:space="preserve">Write 0 if you use the total length of the eel to determine the sex (usually ≤45 cm are males and &gt;45 cm are females); if you observed the gonad write 1.</t>
  </si>
  <si>
    <t xml:space="preserve">differentiated_proportion</t>
  </si>
  <si>
    <t xml:space="preserve">Proportion of differentiated eels in the group</t>
  </si>
  <si>
    <t xml:space="preserve">f_mean_lengthmm</t>
  </si>
  <si>
    <t xml:space="preserve">Mean total length in mm of the female fraction</t>
  </si>
  <si>
    <t xml:space="preserve">f_mean_weightg</t>
  </si>
  <si>
    <t xml:space="preserve">Mean weight in g of the female fraction</t>
  </si>
  <si>
    <t xml:space="preserve">f_mean_age</t>
  </si>
  <si>
    <t xml:space="preserve">Mean age of the female fraction (in years)</t>
  </si>
  <si>
    <t xml:space="preserve">m_mean_lengthmm</t>
  </si>
  <si>
    <t xml:space="preserve">Mean total length in mm of the male fraction</t>
  </si>
  <si>
    <t xml:space="preserve">m_mean_weightg</t>
  </si>
  <si>
    <t xml:space="preserve">Mean weight in g of the male fraction</t>
  </si>
  <si>
    <t xml:space="preserve">m_mean_ageyear</t>
  </si>
  <si>
    <t xml:space="preserve">Mean age of the male fraction (in years)</t>
  </si>
  <si>
    <t xml:space="preserve">anguillicola_proportion</t>
  </si>
  <si>
    <r>
      <rPr>
        <sz val="10"/>
        <rFont val="Arial"/>
        <family val="2"/>
        <charset val="1"/>
      </rPr>
      <t xml:space="preserve">Prevalence of </t>
    </r>
    <r>
      <rPr>
        <i val="true"/>
        <sz val="10"/>
        <rFont val="Arial"/>
        <family val="2"/>
        <charset val="1"/>
      </rPr>
      <t xml:space="preserve">Anguillicola crassus</t>
    </r>
    <r>
      <rPr>
        <sz val="10"/>
        <rFont val="Arial"/>
        <family val="2"/>
        <charset val="1"/>
      </rPr>
      <t xml:space="preserve"> in the population (proportion) </t>
    </r>
  </si>
  <si>
    <t xml:space="preserve">anguillicola_intensity</t>
  </si>
  <si>
    <t xml:space="preserve">Mean A.crassus intensity in numbers</t>
  </si>
  <si>
    <t xml:space="preserve">method_anguillicola_(1=stereomicroscope,0=visual_obs)</t>
  </si>
  <si>
    <t xml:space="preserve">If you used a stereo microscope to count all the stages of A. crassus (eggs, larvae, adults) write 1.</t>
  </si>
  <si>
    <t xml:space="preserve">evex_proportion</t>
  </si>
  <si>
    <t xml:space="preserve">EVE and EVEX proportion in the population </t>
  </si>
  <si>
    <t xml:space="preserve">hva_proportion</t>
  </si>
  <si>
    <t xml:space="preserve">HVA proportion in the population </t>
  </si>
  <si>
    <t xml:space="preserve">g_in_gy_proportion</t>
  </si>
  <si>
    <r>
      <rPr>
        <sz val="10"/>
        <color rgb="FF000000"/>
        <rFont val="Arial"/>
        <family val="2"/>
        <charset val="1"/>
      </rPr>
      <t xml:space="preserve">Proportion of glass eel (</t>
    </r>
    <r>
      <rPr>
        <sz val="10"/>
        <color rgb="FFFF0000"/>
        <rFont val="Arial"/>
        <family val="2"/>
        <charset val="1"/>
      </rPr>
      <t xml:space="preserve">in numbers</t>
    </r>
    <r>
      <rPr>
        <sz val="10"/>
        <color rgb="FF000000"/>
        <rFont val="Arial"/>
        <family val="2"/>
        <charset val="1"/>
      </rPr>
      <t xml:space="preserve">) when the series is a grouping of glass and yellow eels</t>
    </r>
  </si>
  <si>
    <t xml:space="preserve">s_in_ys_proportion</t>
  </si>
  <si>
    <r>
      <rPr>
        <sz val="10"/>
        <color rgb="FF000000"/>
        <rFont val="Arial"/>
        <family val="2"/>
        <charset val="1"/>
      </rPr>
      <t xml:space="preserve">Proportion of silver eel (</t>
    </r>
    <r>
      <rPr>
        <sz val="10"/>
        <color rgb="FFFF0000"/>
        <rFont val="Arial"/>
        <family val="2"/>
        <charset val="1"/>
      </rPr>
      <t xml:space="preserve">in numbers</t>
    </r>
    <r>
      <rPr>
        <sz val="10"/>
        <color rgb="FF000000"/>
        <rFont val="Arial"/>
        <family val="2"/>
        <charset val="1"/>
      </rPr>
      <t xml:space="preserve">) when the series is a grouping of yellow and silver eels</t>
    </r>
  </si>
  <si>
    <t xml:space="preserve">individual_metrics</t>
  </si>
  <si>
    <t xml:space="preserve">fi_id</t>
  </si>
  <si>
    <t xml:space="preserve">Identifier of the individual metrics data, this will be filled in automatically in the new_individual_metrics and will be used in the updated_individual_metrics. Do not edit.</t>
  </si>
  <si>
    <t xml:space="preserve">fi_id_cou</t>
  </si>
  <si>
    <t xml:space="preserve">Indentifier used by data provider to identify the fish in its national database. </t>
  </si>
  <si>
    <t xml:space="preserve">fi_date</t>
  </si>
  <si>
    <t xml:space="preserve">Date of sampling - this should correspond to the date when the fish was caught - be as precise as possible</t>
  </si>
  <si>
    <t xml:space="preserve">fi_lfs_code</t>
  </si>
  <si>
    <t xml:space="preserve">fi_comment</t>
  </si>
  <si>
    <t xml:space="preserve">Comment</t>
  </si>
  <si>
    <t xml:space="preserve">fi_lastupdate</t>
  </si>
  <si>
    <t xml:space="preserve">fi_dts_datasource</t>
  </si>
  <si>
    <t xml:space="preserve">fisa_x_4326</t>
  </si>
  <si>
    <t xml:space="preserve">x (longitude) EPSG:4326, WGS 84 </t>
  </si>
  <si>
    <t xml:space="preserve">fisa_y_4326</t>
  </si>
  <si>
    <t xml:space="preserve">y (latitude) EPSG:4326, WGS 84 </t>
  </si>
  <si>
    <t xml:space="preserve">Length in mm</t>
  </si>
  <si>
    <t xml:space="preserve">Weight in g</t>
  </si>
  <si>
    <t xml:space="preserve">Age</t>
  </si>
  <si>
    <t xml:space="preserve">is_female_(1=female,0=male)</t>
  </si>
  <si>
    <t xml:space="preserve">Sex (1=female, 0=male)</t>
  </si>
  <si>
    <r>
      <rPr>
        <sz val="10"/>
        <color rgb="FFFF0000"/>
        <rFont val="Arial"/>
        <family val="2"/>
        <charset val="1"/>
      </rPr>
      <t xml:space="preserve">Write 0 if you use the total length of the eel to determine the sex (usually </t>
    </r>
    <r>
      <rPr>
        <sz val="10"/>
        <color rgb="FFFF0000"/>
        <rFont val="Aptos Narrow"/>
        <family val="2"/>
        <charset val="1"/>
      </rPr>
      <t xml:space="preserve">≤</t>
    </r>
    <r>
      <rPr>
        <sz val="10"/>
        <color rgb="FFFF0000"/>
        <rFont val="Arial"/>
        <family val="2"/>
        <charset val="1"/>
      </rPr>
      <t xml:space="preserve">45 cm are males and &gt;45 cm are females); if you observed the gonad write 1.</t>
    </r>
  </si>
  <si>
    <t xml:space="preserve">is_differentiated_(1=differentiated,0_undifferentiated)</t>
  </si>
  <si>
    <t xml:space="preserve">Is the eel differentiated (male or female), 1=yes, 0=no </t>
  </si>
  <si>
    <t xml:space="preserve">eye_diam_meanmm</t>
  </si>
  <si>
    <t xml:space="preserve">Eye diameter, or average of vertical and horizontal diameter (mm)</t>
  </si>
  <si>
    <t xml:space="preserve">pectoral_lengthmm</t>
  </si>
  <si>
    <t xml:space="preserve">Pectoral fin length (mm)</t>
  </si>
  <si>
    <t xml:space="preserve">anguillicola_presence_visual(1=present,0=absent)</t>
  </si>
  <si>
    <r>
      <rPr>
        <i val="true"/>
        <sz val="10"/>
        <rFont val="Arial"/>
        <family val="2"/>
        <charset val="1"/>
      </rPr>
      <t xml:space="preserve">A. crassus</t>
    </r>
    <r>
      <rPr>
        <sz val="10"/>
        <rFont val="Arial"/>
        <family val="2"/>
        <charset val="1"/>
      </rPr>
      <t xml:space="preserve"> presence (1) or absence (0)</t>
    </r>
  </si>
  <si>
    <r>
      <rPr>
        <i val="true"/>
        <sz val="10"/>
        <rFont val="Arial"/>
        <family val="2"/>
        <charset val="1"/>
      </rPr>
      <t xml:space="preserve">A. crassus</t>
    </r>
    <r>
      <rPr>
        <sz val="10"/>
        <rFont val="Arial"/>
        <family val="2"/>
        <charset val="1"/>
      </rPr>
      <t xml:space="preserve"> intensity in numbers</t>
    </r>
  </si>
  <si>
    <t xml:space="preserve">evex_presence_(1=present,0=absent)</t>
  </si>
  <si>
    <t xml:space="preserve">EVE and EVEX presence (1) or absence (0)</t>
  </si>
  <si>
    <t xml:space="preserve">hva_presence_(1=present,0=absent)</t>
  </si>
  <si>
    <t xml:space="preserve">HVA presence (1) or absence (0)</t>
  </si>
  <si>
    <t xml:space="preserve">gr_lastupdate</t>
  </si>
  <si>
    <t xml:space="preserve">fi_year</t>
  </si>
  <si>
    <t xml:space="preserve">anguillicola_presence_(1=present,0=absent)</t>
  </si>
  <si>
    <t xml:space="preserve">emu_nameshort</t>
  </si>
  <si>
    <t xml:space="preserve">emu_name</t>
  </si>
  <si>
    <t xml:space="preserve">emu_cou_code</t>
  </si>
  <si>
    <t xml:space="preserve">emu_wholecountry</t>
  </si>
  <si>
    <t xml:space="preserve">AL_total</t>
  </si>
  <si>
    <t xml:space="preserve">AL</t>
  </si>
  <si>
    <t xml:space="preserve">AX_total</t>
  </si>
  <si>
    <t xml:space="preserve">AX</t>
  </si>
  <si>
    <t xml:space="preserve">BA_total</t>
  </si>
  <si>
    <t xml:space="preserve">BA</t>
  </si>
  <si>
    <t xml:space="preserve">BE_Meus</t>
  </si>
  <si>
    <t xml:space="preserve">BE</t>
  </si>
  <si>
    <t xml:space="preserve">BE_Rhin</t>
  </si>
  <si>
    <t xml:space="preserve">BE_Sche</t>
  </si>
  <si>
    <t xml:space="preserve">BE_Sein</t>
  </si>
  <si>
    <t xml:space="preserve">BE_total</t>
  </si>
  <si>
    <t xml:space="preserve">CY_total</t>
  </si>
  <si>
    <t xml:space="preserve">CY</t>
  </si>
  <si>
    <t xml:space="preserve">CZ_Elbe</t>
  </si>
  <si>
    <t xml:space="preserve">CZ</t>
  </si>
  <si>
    <t xml:space="preserve">CZ_Oder</t>
  </si>
  <si>
    <t xml:space="preserve">CZ_total</t>
  </si>
  <si>
    <t xml:space="preserve">DE_Eide</t>
  </si>
  <si>
    <t xml:space="preserve">DE</t>
  </si>
  <si>
    <t xml:space="preserve">DE_Elbe</t>
  </si>
  <si>
    <t xml:space="preserve">DE_Ems</t>
  </si>
  <si>
    <t xml:space="preserve">DE_Maas</t>
  </si>
  <si>
    <t xml:space="preserve">DE_Oder</t>
  </si>
  <si>
    <t xml:space="preserve">DE_Rhei</t>
  </si>
  <si>
    <t xml:space="preserve">DE_Schl</t>
  </si>
  <si>
    <t xml:space="preserve">DE_total</t>
  </si>
  <si>
    <t xml:space="preserve">DE_Warn</t>
  </si>
  <si>
    <t xml:space="preserve">DE_Wese</t>
  </si>
  <si>
    <t xml:space="preserve">DK_Inla</t>
  </si>
  <si>
    <t xml:space="preserve">DK</t>
  </si>
  <si>
    <t xml:space="preserve">DK_Mari</t>
  </si>
  <si>
    <t xml:space="preserve">Danish coastal and marine waters</t>
  </si>
  <si>
    <t xml:space="preserve">DK_total</t>
  </si>
  <si>
    <t xml:space="preserve">DZ_total</t>
  </si>
  <si>
    <t xml:space="preserve">DZ</t>
  </si>
  <si>
    <t xml:space="preserve">EE_Narv</t>
  </si>
  <si>
    <t xml:space="preserve">EE</t>
  </si>
  <si>
    <t xml:space="preserve">EE_total</t>
  </si>
  <si>
    <t xml:space="preserve">EE_West</t>
  </si>
  <si>
    <t xml:space="preserve">EG_total</t>
  </si>
  <si>
    <t xml:space="preserve">EG</t>
  </si>
  <si>
    <t xml:space="preserve">ES_Anda</t>
  </si>
  <si>
    <t xml:space="preserve">ES</t>
  </si>
  <si>
    <t xml:space="preserve">ES_Astu</t>
  </si>
  <si>
    <t xml:space="preserve">ES_Bale</t>
  </si>
  <si>
    <t xml:space="preserve">ES_Basq</t>
  </si>
  <si>
    <t xml:space="preserve">ES_Cant</t>
  </si>
  <si>
    <t xml:space="preserve">ES_Cast</t>
  </si>
  <si>
    <t xml:space="preserve">ES_Cata</t>
  </si>
  <si>
    <t xml:space="preserve">ES_Gali</t>
  </si>
  <si>
    <t xml:space="preserve">ES_Inne</t>
  </si>
  <si>
    <t xml:space="preserve">ES_Minh</t>
  </si>
  <si>
    <t xml:space="preserve">Minho transboundary emu</t>
  </si>
  <si>
    <t xml:space="preserve">PT</t>
  </si>
  <si>
    <t xml:space="preserve">ES_Mino</t>
  </si>
  <si>
    <t xml:space="preserve">ES_Murc</t>
  </si>
  <si>
    <t xml:space="preserve">ES_Nava</t>
  </si>
  <si>
    <t xml:space="preserve">ES_total</t>
  </si>
  <si>
    <t xml:space="preserve">ES_Vale</t>
  </si>
  <si>
    <t xml:space="preserve">FI_Finl</t>
  </si>
  <si>
    <t xml:space="preserve">FI</t>
  </si>
  <si>
    <t xml:space="preserve">FI_total</t>
  </si>
  <si>
    <t xml:space="preserve">FR_Adou</t>
  </si>
  <si>
    <t xml:space="preserve">FR</t>
  </si>
  <si>
    <t xml:space="preserve">FR_Arto</t>
  </si>
  <si>
    <t xml:space="preserve">FR_Bret</t>
  </si>
  <si>
    <t xml:space="preserve">FR_Cors</t>
  </si>
  <si>
    <t xml:space="preserve">FR_Garo</t>
  </si>
  <si>
    <t xml:space="preserve">FR_Loir</t>
  </si>
  <si>
    <t xml:space="preserve">FR_Meus</t>
  </si>
  <si>
    <t xml:space="preserve">FR_Rhin</t>
  </si>
  <si>
    <t xml:space="preserve">FR_Rhon</t>
  </si>
  <si>
    <t xml:space="preserve">FR_Sein</t>
  </si>
  <si>
    <t xml:space="preserve">FR_total</t>
  </si>
  <si>
    <t xml:space="preserve">GB_Angl</t>
  </si>
  <si>
    <t xml:space="preserve">GB</t>
  </si>
  <si>
    <t xml:space="preserve">GB_Dee</t>
  </si>
  <si>
    <t xml:space="preserve">GB_Humb</t>
  </si>
  <si>
    <t xml:space="preserve">GB_Neag</t>
  </si>
  <si>
    <t xml:space="preserve">GB_NorE</t>
  </si>
  <si>
    <t xml:space="preserve">GB_Nort</t>
  </si>
  <si>
    <t xml:space="preserve">GB_NorW</t>
  </si>
  <si>
    <t xml:space="preserve">GB_Scot</t>
  </si>
  <si>
    <t xml:space="preserve">GB_Seve</t>
  </si>
  <si>
    <t xml:space="preserve">GB_Solw</t>
  </si>
  <si>
    <t xml:space="preserve">GB_SouE</t>
  </si>
  <si>
    <t xml:space="preserve">GB_SouW</t>
  </si>
  <si>
    <t xml:space="preserve">GB_Tham</t>
  </si>
  <si>
    <t xml:space="preserve">GB_total</t>
  </si>
  <si>
    <t xml:space="preserve">GB_Wale</t>
  </si>
  <si>
    <t xml:space="preserve">GR_CeAe</t>
  </si>
  <si>
    <t xml:space="preserve">GR</t>
  </si>
  <si>
    <t xml:space="preserve">GR_EaMT</t>
  </si>
  <si>
    <t xml:space="preserve">GR_NorW</t>
  </si>
  <si>
    <t xml:space="preserve">GR_total</t>
  </si>
  <si>
    <t xml:space="preserve">GR_WePe</t>
  </si>
  <si>
    <t xml:space="preserve">HR_total</t>
  </si>
  <si>
    <t xml:space="preserve">HR</t>
  </si>
  <si>
    <t xml:space="preserve">IE_East</t>
  </si>
  <si>
    <t xml:space="preserve">IE</t>
  </si>
  <si>
    <t xml:space="preserve">IE_NorW</t>
  </si>
  <si>
    <t xml:space="preserve">IE_Shan</t>
  </si>
  <si>
    <t xml:space="preserve">IE_SouE</t>
  </si>
  <si>
    <t xml:space="preserve">IE_SouW</t>
  </si>
  <si>
    <t xml:space="preserve">IE_total</t>
  </si>
  <si>
    <t xml:space="preserve">IE_West</t>
  </si>
  <si>
    <t xml:space="preserve">IL_total</t>
  </si>
  <si>
    <t xml:space="preserve">IL</t>
  </si>
  <si>
    <t xml:space="preserve">IS_total</t>
  </si>
  <si>
    <t xml:space="preserve">Iceland</t>
  </si>
  <si>
    <t xml:space="preserve">IS</t>
  </si>
  <si>
    <t xml:space="preserve">IT_Abru</t>
  </si>
  <si>
    <t xml:space="preserve">IT</t>
  </si>
  <si>
    <t xml:space="preserve">IT_Basi</t>
  </si>
  <si>
    <t xml:space="preserve">IT_Cala</t>
  </si>
  <si>
    <t xml:space="preserve">IT_Camp</t>
  </si>
  <si>
    <t xml:space="preserve">IT_Emil</t>
  </si>
  <si>
    <t xml:space="preserve">IT_Frio</t>
  </si>
  <si>
    <t xml:space="preserve">IT_Lazi</t>
  </si>
  <si>
    <t xml:space="preserve">IT_Ligu</t>
  </si>
  <si>
    <t xml:space="preserve">IT_Lomb</t>
  </si>
  <si>
    <t xml:space="preserve">IT_Marc</t>
  </si>
  <si>
    <t xml:space="preserve">IT_Moli</t>
  </si>
  <si>
    <t xml:space="preserve">IT_Piem</t>
  </si>
  <si>
    <t xml:space="preserve">IT_Pugl</t>
  </si>
  <si>
    <t xml:space="preserve">IT_Sard</t>
  </si>
  <si>
    <t xml:space="preserve">IT_Sici</t>
  </si>
  <si>
    <t xml:space="preserve">IT_Tosc</t>
  </si>
  <si>
    <t xml:space="preserve">IT_total</t>
  </si>
  <si>
    <t xml:space="preserve">IT_Tren</t>
  </si>
  <si>
    <t xml:space="preserve">IT_Umbr</t>
  </si>
  <si>
    <t xml:space="preserve">IT_Vall</t>
  </si>
  <si>
    <t xml:space="preserve">IT_Vene</t>
  </si>
  <si>
    <t xml:space="preserve">LB_total</t>
  </si>
  <si>
    <t xml:space="preserve">LB</t>
  </si>
  <si>
    <t xml:space="preserve">LT_Lith</t>
  </si>
  <si>
    <t xml:space="preserve">LT</t>
  </si>
  <si>
    <t xml:space="preserve">LT_total</t>
  </si>
  <si>
    <t xml:space="preserve">LU_Luxe</t>
  </si>
  <si>
    <t xml:space="preserve">LU</t>
  </si>
  <si>
    <t xml:space="preserve">LU_total</t>
  </si>
  <si>
    <t xml:space="preserve">LV_Latv</t>
  </si>
  <si>
    <t xml:space="preserve">LV</t>
  </si>
  <si>
    <t xml:space="preserve">LV_total</t>
  </si>
  <si>
    <t xml:space="preserve">LY_total</t>
  </si>
  <si>
    <t xml:space="preserve">LY</t>
  </si>
  <si>
    <t xml:space="preserve">MA_total</t>
  </si>
  <si>
    <t xml:space="preserve">MA</t>
  </si>
  <si>
    <t xml:space="preserve">ME_total</t>
  </si>
  <si>
    <t xml:space="preserve">ME</t>
  </si>
  <si>
    <t xml:space="preserve">MT_total</t>
  </si>
  <si>
    <t xml:space="preserve">MT</t>
  </si>
  <si>
    <t xml:space="preserve">NL_Neth</t>
  </si>
  <si>
    <t xml:space="preserve">NL</t>
  </si>
  <si>
    <t xml:space="preserve">NO_total</t>
  </si>
  <si>
    <t xml:space="preserve">NO</t>
  </si>
  <si>
    <t xml:space="preserve">PL_Oder</t>
  </si>
  <si>
    <t xml:space="preserve">PL</t>
  </si>
  <si>
    <t xml:space="preserve">PL_total</t>
  </si>
  <si>
    <t xml:space="preserve">PL_Vist</t>
  </si>
  <si>
    <t xml:space="preserve">PT_Port</t>
  </si>
  <si>
    <t xml:space="preserve">PT_total</t>
  </si>
  <si>
    <t xml:space="preserve">RU_total</t>
  </si>
  <si>
    <t xml:space="preserve">RU</t>
  </si>
  <si>
    <t xml:space="preserve">SE_Ea_o</t>
  </si>
  <si>
    <t xml:space="preserve">Historical EMU for Sweden, used for historical data</t>
  </si>
  <si>
    <t xml:space="preserve">SE</t>
  </si>
  <si>
    <t xml:space="preserve">SE_East</t>
  </si>
  <si>
    <t xml:space="preserve">SE_Inla</t>
  </si>
  <si>
    <t xml:space="preserve">SE_So_o</t>
  </si>
  <si>
    <t xml:space="preserve">SE_total</t>
  </si>
  <si>
    <t xml:space="preserve">SE_We_o</t>
  </si>
  <si>
    <t xml:space="preserve">SE_West</t>
  </si>
  <si>
    <t xml:space="preserve">SI_total</t>
  </si>
  <si>
    <t xml:space="preserve">SI</t>
  </si>
  <si>
    <t xml:space="preserve">SY_total</t>
  </si>
  <si>
    <t xml:space="preserve">SY</t>
  </si>
  <si>
    <t xml:space="preserve">TN_EC</t>
  </si>
  <si>
    <t xml:space="preserve">Tunisia East and centre</t>
  </si>
  <si>
    <t xml:space="preserve">TN</t>
  </si>
  <si>
    <t xml:space="preserve">TN_NE</t>
  </si>
  <si>
    <t xml:space="preserve">Tunisia North East Medjerda</t>
  </si>
  <si>
    <t xml:space="preserve">TN_Nor</t>
  </si>
  <si>
    <t xml:space="preserve">Tunisia North</t>
  </si>
  <si>
    <t xml:space="preserve">TN_SO</t>
  </si>
  <si>
    <t xml:space="preserve">Tunisia South</t>
  </si>
  <si>
    <t xml:space="preserve">TN_total</t>
  </si>
  <si>
    <t xml:space="preserve">TR_total</t>
  </si>
  <si>
    <t xml:space="preserve">TR</t>
  </si>
  <si>
    <t xml:space="preserve">VA_Lazi</t>
  </si>
  <si>
    <t xml:space="preserve">VA</t>
  </si>
  <si>
    <t xml:space="preserve">VA_total</t>
  </si>
  <si>
    <t xml:space="preserve">cou_code</t>
  </si>
  <si>
    <t xml:space="preserve">cou_country</t>
  </si>
  <si>
    <t xml:space="preserve">cou_order</t>
  </si>
  <si>
    <t xml:space="preserve">cou_iso3code</t>
  </si>
  <si>
    <t xml:space="preserve">Albania</t>
  </si>
  <si>
    <t xml:space="preserve">ALB</t>
  </si>
  <si>
    <t xml:space="preserve">Åland</t>
  </si>
  <si>
    <t xml:space="preserve">ALA</t>
  </si>
  <si>
    <t xml:space="preserve">Bosnia-Herzegovina</t>
  </si>
  <si>
    <t xml:space="preserve">BIH</t>
  </si>
  <si>
    <t xml:space="preserve">Belgium</t>
  </si>
  <si>
    <t xml:space="preserve">BEL</t>
  </si>
  <si>
    <t xml:space="preserve">Cyprus</t>
  </si>
  <si>
    <t xml:space="preserve">CYP</t>
  </si>
  <si>
    <t xml:space="preserve">Czech republic</t>
  </si>
  <si>
    <t xml:space="preserve">CZE</t>
  </si>
  <si>
    <t xml:space="preserve">Germany</t>
  </si>
  <si>
    <t xml:space="preserve">DEU</t>
  </si>
  <si>
    <t xml:space="preserve">Denmark</t>
  </si>
  <si>
    <t xml:space="preserve">DNK</t>
  </si>
  <si>
    <t xml:space="preserve">Algeria</t>
  </si>
  <si>
    <t xml:space="preserve">DZA</t>
  </si>
  <si>
    <t xml:space="preserve">Estonia</t>
  </si>
  <si>
    <t xml:space="preserve">EST</t>
  </si>
  <si>
    <t xml:space="preserve">Egypt</t>
  </si>
  <si>
    <t xml:space="preserve">EGY</t>
  </si>
  <si>
    <t xml:space="preserve">Spain</t>
  </si>
  <si>
    <t xml:space="preserve">ESP</t>
  </si>
  <si>
    <t xml:space="preserve">Finland</t>
  </si>
  <si>
    <t xml:space="preserve">FIN</t>
  </si>
  <si>
    <t xml:space="preserve">France</t>
  </si>
  <si>
    <t xml:space="preserve">FRA</t>
  </si>
  <si>
    <t xml:space="preserve">Great Britain</t>
  </si>
  <si>
    <t xml:space="preserve">GBR</t>
  </si>
  <si>
    <t xml:space="preserve">Greece</t>
  </si>
  <si>
    <t xml:space="preserve">GRC</t>
  </si>
  <si>
    <t xml:space="preserve">Croatia</t>
  </si>
  <si>
    <t xml:space="preserve">HRV</t>
  </si>
  <si>
    <t xml:space="preserve">Ireland</t>
  </si>
  <si>
    <t xml:space="preserve">IRL</t>
  </si>
  <si>
    <t xml:space="preserve">Israel</t>
  </si>
  <si>
    <t xml:space="preserve">ISR</t>
  </si>
  <si>
    <t xml:space="preserve">ISL</t>
  </si>
  <si>
    <t xml:space="preserve">Italy</t>
  </si>
  <si>
    <t xml:space="preserve">ITA</t>
  </si>
  <si>
    <t xml:space="preserve">Lebanon</t>
  </si>
  <si>
    <t xml:space="preserve">LBN</t>
  </si>
  <si>
    <t xml:space="preserve">Lithuania</t>
  </si>
  <si>
    <t xml:space="preserve">LTU</t>
  </si>
  <si>
    <t xml:space="preserve">Luxembourg</t>
  </si>
  <si>
    <t xml:space="preserve">LUX</t>
  </si>
  <si>
    <t xml:space="preserve">Latvia</t>
  </si>
  <si>
    <t xml:space="preserve">LVA</t>
  </si>
  <si>
    <t xml:space="preserve">Libya</t>
  </si>
  <si>
    <t xml:space="preserve">LBY</t>
  </si>
  <si>
    <t xml:space="preserve">Morocco</t>
  </si>
  <si>
    <t xml:space="preserve">MAR</t>
  </si>
  <si>
    <t xml:space="preserve">Montenegro</t>
  </si>
  <si>
    <t xml:space="preserve">MNE</t>
  </si>
  <si>
    <t xml:space="preserve">Malta</t>
  </si>
  <si>
    <t xml:space="preserve">MLT</t>
  </si>
  <si>
    <t xml:space="preserve">Netherlands</t>
  </si>
  <si>
    <t xml:space="preserve">NLD</t>
  </si>
  <si>
    <t xml:space="preserve">Norway</t>
  </si>
  <si>
    <t xml:space="preserve">NOR</t>
  </si>
  <si>
    <t xml:space="preserve">Poland</t>
  </si>
  <si>
    <t xml:space="preserve">POL</t>
  </si>
  <si>
    <t xml:space="preserve">Portugal</t>
  </si>
  <si>
    <t xml:space="preserve">PRT</t>
  </si>
  <si>
    <t xml:space="preserve">Russia</t>
  </si>
  <si>
    <t xml:space="preserve">RUS</t>
  </si>
  <si>
    <t xml:space="preserve">Sweden</t>
  </si>
  <si>
    <t xml:space="preserve">SWE</t>
  </si>
  <si>
    <t xml:space="preserve">Slovenia</t>
  </si>
  <si>
    <t xml:space="preserve">SVN</t>
  </si>
  <si>
    <t xml:space="preserve">Syria</t>
  </si>
  <si>
    <t xml:space="preserve">SYR</t>
  </si>
  <si>
    <t xml:space="preserve">Tunisia</t>
  </si>
  <si>
    <t xml:space="preserve">TUN</t>
  </si>
  <si>
    <t xml:space="preserve">Turkey</t>
  </si>
  <si>
    <t xml:space="preserve">TUR</t>
  </si>
  <si>
    <t xml:space="preserve">Vattican</t>
  </si>
  <si>
    <t xml:space="preserve">VAT</t>
  </si>
  <si>
    <t xml:space="preserve">mty_id</t>
  </si>
  <si>
    <t xml:space="preserve">mty_name</t>
  </si>
  <si>
    <t xml:space="preserve">mty_individual_name</t>
  </si>
  <si>
    <t xml:space="preserve">mty_description</t>
  </si>
  <si>
    <t xml:space="preserve">mty_type</t>
  </si>
  <si>
    <t xml:space="preserve">mty_method</t>
  </si>
  <si>
    <t xml:space="preserve">mty_uni_code</t>
  </si>
  <si>
    <t xml:space="preserve">mty_group</t>
  </si>
  <si>
    <t xml:space="preserve">mty_min</t>
  </si>
  <si>
    <t xml:space="preserve">mty_max</t>
  </si>
  <si>
    <t xml:space="preserve">Total body length in millimeters (mm) or mean total body length for group</t>
  </si>
  <si>
    <t xml:space="preserve">biometry</t>
  </si>
  <si>
    <t xml:space="preserve">mm</t>
  </si>
  <si>
    <t xml:space="preserve">both</t>
  </si>
  <si>
    <t xml:space="preserve">Weight (g) or mean weight for group</t>
  </si>
  <si>
    <t xml:space="preserve">g</t>
  </si>
  <si>
    <t xml:space="preserve">Age (year) or mean age for group</t>
  </si>
  <si>
    <t xml:space="preserve">nr year</t>
  </si>
  <si>
    <t xml:space="preserve">individual</t>
  </si>
  <si>
    <t xml:space="preserve">Female status (is_female) or percentage female in the population female/(male+female) for group</t>
  </si>
  <si>
    <t xml:space="preserve">check method in method_sex</t>
  </si>
  <si>
    <t xml:space="preserve">wo</t>
  </si>
  <si>
    <t xml:space="preserve">Is the eel differentiated (male or female) or proportion of differentiated eel in the group</t>
  </si>
  <si>
    <t xml:space="preserve">anguillicola_proportion (visual)</t>
  </si>
  <si>
    <t xml:space="preserve">Presence of anguillicola or Prevalence in proportion in group (between 0 and 1)</t>
  </si>
  <si>
    <t xml:space="preserve">quality</t>
  </si>
  <si>
    <t xml:space="preserve">Visual inspection of the swimbladder</t>
  </si>
  <si>
    <t xml:space="preserve">A. crassus intensity or mean A. crassus intensity for group</t>
  </si>
  <si>
    <t xml:space="preserve">nr</t>
  </si>
  <si>
    <t xml:space="preserve">muscle_lipid_fatmeter_perc</t>
  </si>
  <si>
    <t xml:space="preserve">Lipid percentage  or mean muscle lipid percentage measured with fatmeter for group</t>
  </si>
  <si>
    <t xml:space="preserve">fatmeter</t>
  </si>
  <si>
    <t xml:space="preserve">percent</t>
  </si>
  <si>
    <t xml:space="preserve">not used anymore</t>
  </si>
  <si>
    <t xml:space="preserve">muscle_lipid_gravimeter_perc</t>
  </si>
  <si>
    <t xml:space="preserve">Lipid percentage  or mean muscle lipid percentage measured with gravimetrics for group</t>
  </si>
  <si>
    <t xml:space="preserve">gravimetry</t>
  </si>
  <si>
    <t xml:space="preserve">sum_6_pcb</t>
  </si>
  <si>
    <t xml:space="preserve">Sum of six PCBs or mean sum of six PCBs for groups</t>
  </si>
  <si>
    <t xml:space="preserve">ng/g</t>
  </si>
  <si>
    <t xml:space="preserve">EVE and EVEX presence (1= present, 0 = absent) or proportion in the group</t>
  </si>
  <si>
    <t xml:space="preserve">HVA presence  (1= present, 0 = absent) or proportion in the group</t>
  </si>
  <si>
    <t xml:space="preserve">pb</t>
  </si>
  <si>
    <t xml:space="preserve">Lead (Pb) concentration or mean lead (Pb) concentration</t>
  </si>
  <si>
    <t xml:space="preserve">hg</t>
  </si>
  <si>
    <t xml:space="preserve">Mercury (Hg) concentration or mean lead (Pb) concentration for group</t>
  </si>
  <si>
    <t xml:space="preserve">cd</t>
  </si>
  <si>
    <t xml:space="preserve">Cadmium (Cd) concentration or mean cadmium concentration for group</t>
  </si>
  <si>
    <t xml:space="preserve">Male mean total body length (mm)</t>
  </si>
  <si>
    <t xml:space="preserve">group</t>
  </si>
  <si>
    <t xml:space="preserve">Male mean weight (g)</t>
  </si>
  <si>
    <t xml:space="preserve">Male mean age (year)</t>
  </si>
  <si>
    <t xml:space="preserve">Female mean body length (mm)</t>
  </si>
  <si>
    <t xml:space="preserve">Female mean weight (g)</t>
  </si>
  <si>
    <t xml:space="preserve">Female mean age (year)</t>
  </si>
  <si>
    <t xml:space="preserve">Proportion of glass eel in number during the season when the series is a grouping of glass and yellow eels</t>
  </si>
  <si>
    <t xml:space="preserve">migration</t>
  </si>
  <si>
    <t xml:space="preserve">Proportion of silver eel in number in the group</t>
  </si>
  <si>
    <t xml:space="preserve">teq</t>
  </si>
  <si>
    <t xml:space="preserve">Sum TEQ of measured dioxin-like PCBs or mean sum TEQ of measured dioxin-like PCBs</t>
  </si>
  <si>
    <t xml:space="preserve">Female proportion (from gonads)</t>
  </si>
  <si>
    <t xml:space="preserve">has_female_gonads(1=female,0=male)</t>
  </si>
  <si>
    <t xml:space="preserve">Dissection and visual inspection of gonads</t>
  </si>
  <si>
    <t xml:space="preserve">method_anguillicola_(1=stereomicroscope,0=visual_obs)
</t>
  </si>
  <si>
    <t xml:space="preserve">gid</t>
  </si>
  <si>
    <t xml:space="preserve">fid</t>
  </si>
  <si>
    <t xml:space="preserve">f_level</t>
  </si>
  <si>
    <t xml:space="preserve">f_code</t>
  </si>
  <si>
    <t xml:space="preserve">f_status</t>
  </si>
  <si>
    <t xml:space="preserve">ocean</t>
  </si>
  <si>
    <t xml:space="preserve">subocean</t>
  </si>
  <si>
    <t xml:space="preserve">f_area</t>
  </si>
  <si>
    <t xml:space="preserve">f_subarea</t>
  </si>
  <si>
    <t xml:space="preserve">f_division</t>
  </si>
  <si>
    <t xml:space="preserve">f_subdivis</t>
  </si>
  <si>
    <t xml:space="preserve">f_subunit</t>
  </si>
  <si>
    <t xml:space="preserve">surface</t>
  </si>
  <si>
    <t xml:space="preserve">DIVISION</t>
  </si>
  <si>
    <t xml:space="preserve">37.4.1</t>
  </si>
  <si>
    <t xml:space="preserve">Atlantic</t>
  </si>
  <si>
    <t xml:space="preserve">3</t>
  </si>
  <si>
    <t xml:space="preserve">37</t>
  </si>
  <si>
    <t xml:space="preserve">37.4</t>
  </si>
  <si>
    <t xml:space="preserve">37.3.2</t>
  </si>
  <si>
    <t xml:space="preserve">37.3</t>
  </si>
  <si>
    <t xml:space="preserve">Please check also the maps provided by ICES</t>
  </si>
  <si>
    <t xml:space="preserve">34.1.2</t>
  </si>
  <si>
    <t xml:space="preserve">34</t>
  </si>
  <si>
    <t xml:space="preserve">34.1</t>
  </si>
  <si>
    <t xml:space="preserve">ICES statistical rectangles</t>
  </si>
  <si>
    <t xml:space="preserve">http://gis.ices.dk/sf/index.html?widget=StatRec</t>
  </si>
  <si>
    <t xml:space="preserve">34.1.1</t>
  </si>
  <si>
    <t xml:space="preserve">FAO areas map</t>
  </si>
  <si>
    <t xml:space="preserve">http://www.fao.org/fishery/area/search/en</t>
  </si>
  <si>
    <t xml:space="preserve">34.1.3</t>
  </si>
  <si>
    <t xml:space="preserve">71.6.1</t>
  </si>
  <si>
    <t xml:space="preserve">Pacific</t>
  </si>
  <si>
    <t xml:space="preserve">7</t>
  </si>
  <si>
    <t xml:space="preserve">71</t>
  </si>
  <si>
    <t xml:space="preserve">_71.6</t>
  </si>
  <si>
    <t xml:space="preserve">These codes are for use only in the case of Coatsal and Marine Open waters – otherwise you can leave it</t>
  </si>
  <si>
    <t xml:space="preserve">34.3.1</t>
  </si>
  <si>
    <t xml:space="preserve">34.3</t>
  </si>
  <si>
    <t xml:space="preserve">Please only use f_division as the reference.</t>
  </si>
  <si>
    <t xml:space="preserve">71.6.2</t>
  </si>
  <si>
    <t xml:space="preserve">34.4.2</t>
  </si>
  <si>
    <t xml:space="preserve">34.4</t>
  </si>
  <si>
    <t xml:space="preserve">34.3.2</t>
  </si>
  <si>
    <t xml:space="preserve">37.4.2</t>
  </si>
  <si>
    <t xml:space="preserve">37.4.3</t>
  </si>
  <si>
    <t xml:space="preserve">37.1.2</t>
  </si>
  <si>
    <t xml:space="preserve">37.1</t>
  </si>
  <si>
    <t xml:space="preserve">37.1.3</t>
  </si>
  <si>
    <t xml:space="preserve">27.12.b</t>
  </si>
  <si>
    <t xml:space="preserve">2</t>
  </si>
  <si>
    <t xml:space="preserve">27</t>
  </si>
  <si>
    <t xml:space="preserve">27.12</t>
  </si>
  <si>
    <t xml:space="preserve">37.2.1</t>
  </si>
  <si>
    <t xml:space="preserve">37.2</t>
  </si>
  <si>
    <t xml:space="preserve">37.2.2</t>
  </si>
  <si>
    <t xml:space="preserve">37.3.1</t>
  </si>
  <si>
    <t xml:space="preserve">41.1.1</t>
  </si>
  <si>
    <t xml:space="preserve">4</t>
  </si>
  <si>
    <t xml:space="preserve">41</t>
  </si>
  <si>
    <t xml:space="preserve">41.1</t>
  </si>
  <si>
    <t xml:space="preserve">87.1.3</t>
  </si>
  <si>
    <t xml:space="preserve">8</t>
  </si>
  <si>
    <t xml:space="preserve">87</t>
  </si>
  <si>
    <t xml:space="preserve">87.1</t>
  </si>
  <si>
    <t xml:space="preserve">41.1.2</t>
  </si>
  <si>
    <t xml:space="preserve">41.1.3</t>
  </si>
  <si>
    <t xml:space="preserve">57.5.1</t>
  </si>
  <si>
    <t xml:space="preserve">Indian</t>
  </si>
  <si>
    <t xml:space="preserve">5</t>
  </si>
  <si>
    <t xml:space="preserve">57</t>
  </si>
  <si>
    <t xml:space="preserve">57.5</t>
  </si>
  <si>
    <t xml:space="preserve">87.2.6</t>
  </si>
  <si>
    <t xml:space="preserve">87.2</t>
  </si>
  <si>
    <t xml:space="preserve">87.2.2</t>
  </si>
  <si>
    <t xml:space="preserve">87.2.1</t>
  </si>
  <si>
    <t xml:space="preserve">41.2.1</t>
  </si>
  <si>
    <t xml:space="preserve">41.2</t>
  </si>
  <si>
    <t xml:space="preserve">41.1.4</t>
  </si>
  <si>
    <t xml:space="preserve">34.4.1</t>
  </si>
  <si>
    <t xml:space="preserve">57.5.2</t>
  </si>
  <si>
    <t xml:space="preserve">87.2.3</t>
  </si>
  <si>
    <t xml:space="preserve">87.2.5</t>
  </si>
  <si>
    <t xml:space="preserve">41.2.2</t>
  </si>
  <si>
    <t xml:space="preserve">87.2.4</t>
  </si>
  <si>
    <t xml:space="preserve">87.3.3</t>
  </si>
  <si>
    <t xml:space="preserve">87.3</t>
  </si>
  <si>
    <t xml:space="preserve">41.2.4</t>
  </si>
  <si>
    <t xml:space="preserve">41.3.3</t>
  </si>
  <si>
    <t xml:space="preserve">41.3</t>
  </si>
  <si>
    <t xml:space="preserve">27.10.a</t>
  </si>
  <si>
    <t xml:space="preserve">27.10</t>
  </si>
  <si>
    <t xml:space="preserve">27.9.b</t>
  </si>
  <si>
    <t xml:space="preserve">27.9</t>
  </si>
  <si>
    <t xml:space="preserve">58.5.2</t>
  </si>
  <si>
    <t xml:space="preserve">10</t>
  </si>
  <si>
    <t xml:space="preserve">58</t>
  </si>
  <si>
    <t xml:space="preserve">58.5</t>
  </si>
  <si>
    <t xml:space="preserve">58.4.4</t>
  </si>
  <si>
    <t xml:space="preserve">58.4</t>
  </si>
  <si>
    <t xml:space="preserve">41.2.3</t>
  </si>
  <si>
    <t xml:space="preserve">41.3.1</t>
  </si>
  <si>
    <t xml:space="preserve">37.1.1</t>
  </si>
  <si>
    <t xml:space="preserve">34.3.6</t>
  </si>
  <si>
    <t xml:space="preserve">87.3.2</t>
  </si>
  <si>
    <t xml:space="preserve">87.3.1</t>
  </si>
  <si>
    <t xml:space="preserve">58.5.1</t>
  </si>
  <si>
    <t xml:space="preserve">34.3.3</t>
  </si>
  <si>
    <t xml:space="preserve">87.1.1</t>
  </si>
  <si>
    <t xml:space="preserve">34.3.4</t>
  </si>
  <si>
    <t xml:space="preserve">34.3.5</t>
  </si>
  <si>
    <t xml:space="preserve">87.1.2</t>
  </si>
  <si>
    <t xml:space="preserve">87.1.4</t>
  </si>
  <si>
    <t xml:space="preserve">41.3.2</t>
  </si>
  <si>
    <t xml:space="preserve">58.4.2</t>
  </si>
  <si>
    <t xml:space="preserve">58.4.1</t>
  </si>
  <si>
    <t xml:space="preserve">58.4.3</t>
  </si>
  <si>
    <t xml:space="preserve">47.A.0</t>
  </si>
  <si>
    <t xml:space="preserve">47</t>
  </si>
  <si>
    <t xml:space="preserve">47.A</t>
  </si>
  <si>
    <t xml:space="preserve">47.A.1</t>
  </si>
  <si>
    <t xml:space="preserve">21.1.D</t>
  </si>
  <si>
    <t xml:space="preserve">21</t>
  </si>
  <si>
    <t xml:space="preserve">21.1</t>
  </si>
  <si>
    <t xml:space="preserve">21.1.E</t>
  </si>
  <si>
    <t xml:space="preserve">21.2.G</t>
  </si>
  <si>
    <t xml:space="preserve">21.2</t>
  </si>
  <si>
    <t xml:space="preserve">21.1.F</t>
  </si>
  <si>
    <t xml:space="preserve">21.2.H</t>
  </si>
  <si>
    <t xml:space="preserve">21.3.M</t>
  </si>
  <si>
    <t xml:space="preserve">21.3</t>
  </si>
  <si>
    <t xml:space="preserve">21.3.O</t>
  </si>
  <si>
    <t xml:space="preserve">47.1.1</t>
  </si>
  <si>
    <t xml:space="preserve">47.1</t>
  </si>
  <si>
    <t xml:space="preserve">47.2.1</t>
  </si>
  <si>
    <t xml:space="preserve">47.2</t>
  </si>
  <si>
    <t xml:space="preserve">47.1.3</t>
  </si>
  <si>
    <t xml:space="preserve">47.1.4</t>
  </si>
  <si>
    <t xml:space="preserve">47.1.5</t>
  </si>
  <si>
    <t xml:space="preserve">47.1.6</t>
  </si>
  <si>
    <t xml:space="preserve">27.9.a</t>
  </si>
  <si>
    <t xml:space="preserve">27.8.c</t>
  </si>
  <si>
    <t xml:space="preserve">27.8</t>
  </si>
  <si>
    <t xml:space="preserve">27.8.b</t>
  </si>
  <si>
    <t xml:space="preserve">27.10.b</t>
  </si>
  <si>
    <t xml:space="preserve">27.8.e</t>
  </si>
  <si>
    <t xml:space="preserve">47.1.2</t>
  </si>
  <si>
    <t xml:space="preserve">47.C.0</t>
  </si>
  <si>
    <t xml:space="preserve">47.C</t>
  </si>
  <si>
    <t xml:space="preserve">47.D.0</t>
  </si>
  <si>
    <t xml:space="preserve">47.D</t>
  </si>
  <si>
    <t xml:space="preserve">47.2.2</t>
  </si>
  <si>
    <t xml:space="preserve">27.7.j</t>
  </si>
  <si>
    <t xml:space="preserve">27.7</t>
  </si>
  <si>
    <t xml:space="preserve">27.7.h</t>
  </si>
  <si>
    <t xml:space="preserve">27.7.f</t>
  </si>
  <si>
    <t xml:space="preserve">27.7.g</t>
  </si>
  <si>
    <t xml:space="preserve">27.12.c</t>
  </si>
  <si>
    <t xml:space="preserve">27.7.k</t>
  </si>
  <si>
    <t xml:space="preserve">27.4.c</t>
  </si>
  <si>
    <t xml:space="preserve">27.4</t>
  </si>
  <si>
    <t xml:space="preserve">27.7.c</t>
  </si>
  <si>
    <t xml:space="preserve">27.3.d</t>
  </si>
  <si>
    <t xml:space="preserve">27.3</t>
  </si>
  <si>
    <t xml:space="preserve">27.3.b, c</t>
  </si>
  <si>
    <t xml:space="preserve">27.4.b</t>
  </si>
  <si>
    <t xml:space="preserve">27.6.b</t>
  </si>
  <si>
    <t xml:space="preserve">27.6</t>
  </si>
  <si>
    <t xml:space="preserve">27.5.b</t>
  </si>
  <si>
    <t xml:space="preserve">27.5</t>
  </si>
  <si>
    <t xml:space="preserve">27.12.a</t>
  </si>
  <si>
    <t xml:space="preserve">27.5.a</t>
  </si>
  <si>
    <t xml:space="preserve">27.14.b</t>
  </si>
  <si>
    <t xml:space="preserve">27.14</t>
  </si>
  <si>
    <t xml:space="preserve">27.2.a</t>
  </si>
  <si>
    <t xml:space="preserve">27.2</t>
  </si>
  <si>
    <t xml:space="preserve">27.2.b</t>
  </si>
  <si>
    <t xml:space="preserve">27.1.a</t>
  </si>
  <si>
    <t xml:space="preserve">27.1</t>
  </si>
  <si>
    <t xml:space="preserve">27.14.a</t>
  </si>
  <si>
    <t xml:space="preserve">27.7.e</t>
  </si>
  <si>
    <t xml:space="preserve">27.7.d</t>
  </si>
  <si>
    <t xml:space="preserve">27.6.a</t>
  </si>
  <si>
    <t xml:space="preserve">27.7.b</t>
  </si>
  <si>
    <t xml:space="preserve">27.7.a</t>
  </si>
  <si>
    <t xml:space="preserve">27.4.a</t>
  </si>
  <si>
    <t xml:space="preserve">27.1.b</t>
  </si>
  <si>
    <t xml:space="preserve">27.3.a</t>
  </si>
  <si>
    <t xml:space="preserve">27.8.d</t>
  </si>
  <si>
    <t xml:space="preserve">21.3.N</t>
  </si>
  <si>
    <t xml:space="preserve">21.4.V</t>
  </si>
  <si>
    <t xml:space="preserve">21.4</t>
  </si>
  <si>
    <t xml:space="preserve">21.5.Z</t>
  </si>
  <si>
    <t xml:space="preserve">21.5</t>
  </si>
  <si>
    <t xml:space="preserve">21.6.B</t>
  </si>
  <si>
    <t xml:space="preserve">21.6</t>
  </si>
  <si>
    <t xml:space="preserve">21.6.D</t>
  </si>
  <si>
    <t xml:space="preserve">21.6.E</t>
  </si>
  <si>
    <t xml:space="preserve">21.6.F</t>
  </si>
  <si>
    <t xml:space="preserve">21.6.G</t>
  </si>
  <si>
    <t xml:space="preserve">21.6.H</t>
  </si>
  <si>
    <t xml:space="preserve">21.0.A</t>
  </si>
  <si>
    <t xml:space="preserve">21.0</t>
  </si>
  <si>
    <t xml:space="preserve">21.1.A</t>
  </si>
  <si>
    <t xml:space="preserve">21.1.B</t>
  </si>
  <si>
    <t xml:space="preserve">21.0.B</t>
  </si>
  <si>
    <t xml:space="preserve">21.1.C</t>
  </si>
  <si>
    <t xml:space="preserve">21.4.W</t>
  </si>
  <si>
    <t xml:space="preserve">21.4.S</t>
  </si>
  <si>
    <t xml:space="preserve">21.3.K</t>
  </si>
  <si>
    <t xml:space="preserve">21.2.J</t>
  </si>
  <si>
    <t xml:space="preserve">21.6.A</t>
  </si>
  <si>
    <t xml:space="preserve">21.6.C</t>
  </si>
  <si>
    <t xml:space="preserve">21.4.R</t>
  </si>
  <si>
    <t xml:space="preserve">21.3.L</t>
  </si>
  <si>
    <t xml:space="preserve">21.3.P</t>
  </si>
  <si>
    <t xml:space="preserve">21.4.X</t>
  </si>
  <si>
    <t xml:space="preserve">21.5.Y</t>
  </si>
  <si>
    <t xml:space="preserve">21.4.T</t>
  </si>
  <si>
    <t xml:space="preserve">47.D.1</t>
  </si>
  <si>
    <t xml:space="preserve">47.B.1</t>
  </si>
  <si>
    <t xml:space="preserve">47.B</t>
  </si>
  <si>
    <t xml:space="preserve">47.C.1</t>
  </si>
  <si>
    <t xml:space="preserve">47.B.0</t>
  </si>
  <si>
    <t xml:space="preserve">27.8.a</t>
  </si>
  <si>
    <t xml:space="preserve">hty_code</t>
  </si>
  <si>
    <t xml:space="preserve">hty_description</t>
  </si>
  <si>
    <t xml:space="preserve">All habitats combined</t>
  </si>
  <si>
    <t xml:space="preserve">do not use, leave void instead</t>
  </si>
  <si>
    <t xml:space="preserve">C</t>
  </si>
  <si>
    <t xml:space="preserve">WFD Coastal water</t>
  </si>
  <si>
    <t xml:space="preserve">F</t>
  </si>
  <si>
    <t xml:space="preserve">Freshwater</t>
  </si>
  <si>
    <t xml:space="preserve">MO</t>
  </si>
  <si>
    <t xml:space="preserve">Marine water (open sea)</t>
  </si>
  <si>
    <t xml:space="preserve">T</t>
  </si>
  <si>
    <t xml:space="preserve">WFD Transitional water - implies reduced salinity</t>
  </si>
  <si>
    <t xml:space="preserve">lfs_code</t>
  </si>
  <si>
    <t xml:space="preserve">lfs_name</t>
  </si>
  <si>
    <t xml:space="preserve">lfs_definition</t>
  </si>
  <si>
    <t xml:space="preserve">All stages</t>
  </si>
  <si>
    <t xml:space="preserve">All stages combined</t>
  </si>
  <si>
    <t xml:space="preserve">G</t>
  </si>
  <si>
    <t xml:space="preserve">glass eel</t>
  </si>
  <si>
    <t xml:space="preserve">Young, unpigmented eel, recruiting from the sea into continental waters. WGEEL consider the glass eel term to include all recruits of the 0+ cohort age. In some cases, however, also includes the early pigmented stages.</t>
  </si>
  <si>
    <t xml:space="preserve">GY</t>
  </si>
  <si>
    <t xml:space="preserve">glass eel + yellow eel</t>
  </si>
  <si>
    <t xml:space="preserve">A mixture of glass and yellow eel, some traps have historical set of data where glass eel and yellow eel were not separated,
they were dominated by glass eel</t>
  </si>
  <si>
    <t xml:space="preserve">OG</t>
  </si>
  <si>
    <t xml:space="preserve">ongrown eel</t>
  </si>
  <si>
    <t xml:space="preserve">Eel that have been held in water tanks for some days or months between first capture and then release to a new water basin, and they have been fed and grown during that time.</t>
  </si>
  <si>
    <t xml:space="preserve">do not use  in other sampling data</t>
  </si>
  <si>
    <t xml:space="preserve">QG</t>
  </si>
  <si>
    <t xml:space="preserve">quarantined eel</t>
  </si>
  <si>
    <t xml:space="preserve">Ongrown eel (see definition above) that have been held in isolation between capture and restocking.</t>
  </si>
  <si>
    <t xml:space="preserve">S</t>
  </si>
  <si>
    <t xml:space="preserve">silver eel</t>
  </si>
  <si>
    <t xml:space="preserve">Migratory phase following the yellow eel phase. Eel in this phase are characterized by darkened back, silvery belly with a clearly contrasting black lateral line, enlarged eyes. Silver eel undertake downstream migration towards the sea, and subsequently westwards. This phase mainly occurs in the second half of calendar years, although some are observed throughout winter and following spring.</t>
  </si>
  <si>
    <t xml:space="preserve">Y</t>
  </si>
  <si>
    <t xml:space="preserve">yellow eel</t>
  </si>
  <si>
    <t xml:space="preserve">Life-stage resident in continental waters. Often defined as a sedentary phase, but migration within and between rivers, 
and to and from coastal waters occurs and therefore includes young pigmented eels (‘elvers’ and bootlace). Sometimes is also called Brown eel.</t>
  </si>
  <si>
    <t xml:space="preserve">Try to avoid </t>
  </si>
  <si>
    <t xml:space="preserve">YS</t>
  </si>
  <si>
    <t xml:space="preserve">yellow eel+ silver eel</t>
  </si>
  <si>
    <t xml:space="preserve">Yellow and Silver eel defined below</t>
  </si>
  <si>
    <t xml:space="preserve">uni_code</t>
  </si>
  <si>
    <t xml:space="preserve">uni_name</t>
  </si>
  <si>
    <t xml:space="preserve">gram</t>
  </si>
  <si>
    <t xml:space="preserve">ha</t>
  </si>
  <si>
    <t xml:space="preserve">Surface</t>
  </si>
  <si>
    <t xml:space="preserve">index</t>
  </si>
  <si>
    <t xml:space="preserve">calculated value following a specified protocol</t>
  </si>
  <si>
    <t xml:space="preserve">kg</t>
  </si>
  <si>
    <t xml:space="preserve">weight in kilogrammes</t>
  </si>
  <si>
    <t xml:space="preserve">kg/boat/d</t>
  </si>
  <si>
    <t xml:space="preserve">kilogramme per boat per day</t>
  </si>
  <si>
    <t xml:space="preserve">kg/d</t>
  </si>
  <si>
    <t xml:space="preserve">kilogramme per day</t>
  </si>
  <si>
    <t xml:space="preserve">kg/ha</t>
  </si>
  <si>
    <t xml:space="preserve">weight in kilogrammes per surface in hectare</t>
  </si>
  <si>
    <t xml:space="preserve">milimeter</t>
  </si>
  <si>
    <t xml:space="preserve">nanogram per gram</t>
  </si>
  <si>
    <t xml:space="preserve">number</t>
  </si>
  <si>
    <t xml:space="preserve">nr day</t>
  </si>
  <si>
    <t xml:space="preserve">number of days</t>
  </si>
  <si>
    <t xml:space="preserve">nr electrofishing</t>
  </si>
  <si>
    <t xml:space="preserve">number of electrofishing campain in the year to collect the recruitment index</t>
  </si>
  <si>
    <t xml:space="preserve">nr fyke.day</t>
  </si>
  <si>
    <t xml:space="preserve">number of fyke and day</t>
  </si>
  <si>
    <t xml:space="preserve">nr haul</t>
  </si>
  <si>
    <t xml:space="preserve">number of haul</t>
  </si>
  <si>
    <t xml:space="preserve">nr net.night</t>
  </si>
  <si>
    <t xml:space="preserve">number of net and night</t>
  </si>
  <si>
    <t xml:space="preserve">nr site</t>
  </si>
  <si>
    <t xml:space="preserve">number of site</t>
  </si>
  <si>
    <t xml:space="preserve">number of years</t>
  </si>
  <si>
    <t xml:space="preserve">nr/h</t>
  </si>
  <si>
    <t xml:space="preserve">number per hour</t>
  </si>
  <si>
    <t xml:space="preserve">nr/haul</t>
  </si>
  <si>
    <t xml:space="preserve">number per haul</t>
  </si>
  <si>
    <t xml:space="preserve">nr/m2</t>
  </si>
  <si>
    <t xml:space="preserve">number per square meter</t>
  </si>
  <si>
    <t xml:space="preserve">nr/m3</t>
  </si>
  <si>
    <t xml:space="preserve">number per cubic meter</t>
  </si>
  <si>
    <t xml:space="preserve">nr/net/day</t>
  </si>
  <si>
    <t xml:space="preserve">number per net and day</t>
  </si>
  <si>
    <t xml:space="preserve">percentage</t>
  </si>
  <si>
    <t xml:space="preserve">t</t>
  </si>
  <si>
    <t xml:space="preserve">weight in tonnes</t>
  </si>
  <si>
    <t xml:space="preserve">without unit</t>
  </si>
</sst>
</file>

<file path=xl/styles.xml><?xml version="1.0" encoding="utf-8"?>
<styleSheet xmlns="http://schemas.openxmlformats.org/spreadsheetml/2006/main">
  <numFmts count="3">
    <numFmt numFmtId="164" formatCode="General"/>
    <numFmt numFmtId="165" formatCode="mm/dd/yyyy\ hh:mm:ss"/>
    <numFmt numFmtId="166" formatCode="General"/>
  </numFmts>
  <fonts count="24">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sz val="10"/>
      <color rgb="FFFF0000"/>
      <name val="Arial"/>
      <family val="2"/>
      <charset val="1"/>
    </font>
    <font>
      <sz val="10"/>
      <name val="Arial"/>
      <family val="2"/>
      <charset val="1"/>
    </font>
    <font>
      <i val="true"/>
      <sz val="10"/>
      <name val="Arial"/>
      <family val="2"/>
      <charset val="1"/>
    </font>
    <font>
      <sz val="10"/>
      <color rgb="FFFF0000"/>
      <name val="Aptos Narrow"/>
      <family val="2"/>
      <charset val="1"/>
    </font>
    <font>
      <sz val="11"/>
      <color rgb="FF000000"/>
      <name val="Calibri"/>
      <family val="0"/>
    </font>
    <font>
      <b val="true"/>
      <sz val="11"/>
      <color theme="3" tint="-0.25"/>
      <name val="Calibri"/>
      <family val="0"/>
    </font>
    <font>
      <sz val="11"/>
      <color rgb="FF77933C"/>
      <name val="Calibri"/>
      <family val="0"/>
    </font>
    <font>
      <b val="true"/>
      <sz val="11"/>
      <color rgb="FF92D050"/>
      <name val="Calibri"/>
      <family val="0"/>
    </font>
    <font>
      <sz val="11"/>
      <color rgb="FF000000"/>
      <name val="Times New Roman"/>
      <family val="0"/>
    </font>
    <font>
      <sz val="11"/>
      <color rgb="FF000000"/>
      <name val="Calibri"/>
      <family val="2"/>
      <charset val="1"/>
    </font>
    <font>
      <sz val="11"/>
      <color theme="1"/>
      <name val="Calibri"/>
      <family val="2"/>
      <charset val="1"/>
    </font>
    <font>
      <b val="true"/>
      <sz val="11"/>
      <color rgb="FF000000"/>
      <name val="Calibri"/>
      <family val="2"/>
      <charset val="1"/>
    </font>
    <font>
      <u val="single"/>
      <sz val="11"/>
      <color rgb="FF0563C1"/>
      <name val="Calibri"/>
      <family val="2"/>
      <charset val="1"/>
    </font>
    <font>
      <sz val="11"/>
      <color rgb="FF000000"/>
      <name val="Times New Roman"/>
      <family val="1"/>
      <charset val="1"/>
    </font>
    <font>
      <i val="true"/>
      <sz val="10"/>
      <color rgb="FFFF0000"/>
      <name val="Arial"/>
      <family val="2"/>
      <charset val="1"/>
    </font>
    <font>
      <i val="true"/>
      <sz val="11"/>
      <color rgb="FF000000"/>
      <name val="Calibri"/>
      <family val="2"/>
      <charset val="1"/>
    </font>
    <font>
      <i val="true"/>
      <sz val="11"/>
      <color rgb="FFFF0000"/>
      <name val="Calibri"/>
      <family val="2"/>
      <charset val="1"/>
    </font>
    <font>
      <i val="true"/>
      <sz val="10"/>
      <color rgb="FFFFC000"/>
      <name val="Arial"/>
      <family val="2"/>
      <charset val="1"/>
    </font>
    <font>
      <b val="true"/>
      <sz val="10"/>
      <color rgb="FF000000"/>
      <name val="Arial"/>
      <family val="2"/>
      <charset val="1"/>
    </font>
  </fonts>
  <fills count="10">
    <fill>
      <patternFill patternType="none"/>
    </fill>
    <fill>
      <patternFill patternType="gray125"/>
    </fill>
    <fill>
      <patternFill patternType="solid">
        <fgColor rgb="FFA6A6A6"/>
        <bgColor rgb="FFAFABAB"/>
      </patternFill>
    </fill>
    <fill>
      <patternFill patternType="solid">
        <fgColor rgb="FFBFBFBF"/>
        <bgColor rgb="FFC0C0C0"/>
      </patternFill>
    </fill>
    <fill>
      <patternFill patternType="solid">
        <fgColor rgb="FFC0C0C0"/>
        <bgColor rgb="FFBFBFBF"/>
      </patternFill>
    </fill>
    <fill>
      <patternFill patternType="solid">
        <fgColor rgb="FFAFABAB"/>
        <bgColor rgb="FFA6A6A6"/>
      </patternFill>
    </fill>
    <fill>
      <patternFill patternType="solid">
        <fgColor theme="0"/>
        <bgColor rgb="FFFFFFCC"/>
      </patternFill>
    </fill>
    <fill>
      <patternFill patternType="solid">
        <fgColor rgb="FFFF0000"/>
        <bgColor rgb="FFC00000"/>
      </patternFill>
    </fill>
    <fill>
      <patternFill patternType="solid">
        <fgColor rgb="FFDAE3F3"/>
        <bgColor rgb="FFCCFFFF"/>
      </patternFill>
    </fill>
    <fill>
      <patternFill patternType="solid">
        <fgColor rgb="FFFFC000"/>
        <bgColor rgb="FFFF9900"/>
      </patternFill>
    </fill>
  </fills>
  <borders count="2">
    <border diagonalUp="false" diagonalDown="false">
      <left/>
      <right/>
      <top/>
      <bottom/>
      <diagonal/>
    </border>
    <border diagonalUp="false" diagonalDown="false">
      <left style="thin">
        <color theme="0" tint="-0.25"/>
      </left>
      <right style="thin">
        <color theme="0" tint="-0.25"/>
      </right>
      <top style="thin">
        <color theme="0" tint="-0.25"/>
      </top>
      <bottom style="thin">
        <color theme="0" tint="-0.2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4"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bottom" textRotation="0" wrapText="true" indent="0" shrinkToFit="false"/>
      <protection locked="true" hidden="false"/>
    </xf>
    <xf numFmtId="164" fontId="4" fillId="3"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5"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true" applyProtection="false">
      <alignment horizontal="general" vertical="bottom" textRotation="0" wrapText="true" indent="0" shrinkToFit="false"/>
      <protection locked="true" hidden="false"/>
    </xf>
    <xf numFmtId="164" fontId="4" fillId="6" borderId="1" xfId="0" applyFont="true" applyBorder="true" applyAlignment="true" applyProtection="false">
      <alignment horizontal="general" vertical="bottom" textRotation="0" wrapText="true" indent="0" shrinkToFit="false"/>
      <protection locked="true" hidden="false"/>
    </xf>
    <xf numFmtId="164" fontId="4" fillId="6"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7" borderId="0" xfId="0" applyFont="true" applyBorder="false" applyAlignment="false" applyProtection="false">
      <alignment horizontal="general" vertical="bottom" textRotation="0" wrapText="false" indent="0" shrinkToFit="false"/>
      <protection locked="true" hidden="false"/>
    </xf>
    <xf numFmtId="164" fontId="18" fillId="7"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5" fillId="8"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4" fillId="7" borderId="0" xfId="0" applyFont="true" applyBorder="false" applyAlignment="true" applyProtection="false">
      <alignment horizontal="general" vertical="bottom" textRotation="0" wrapText="tru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2060"/>
      <rgbColor rgb="FF77933C"/>
      <rgbColor rgb="FF800080"/>
      <rgbColor rgb="FF008080"/>
      <rgbColor rgb="FFC0C0C0"/>
      <rgbColor rgb="FF808080"/>
      <rgbColor rgb="FFAFABAB"/>
      <rgbColor rgb="FF993366"/>
      <rgbColor rgb="FFFFFFCC"/>
      <rgbColor rgb="FFCCFFFF"/>
      <rgbColor rgb="FF660066"/>
      <rgbColor rgb="FFFF8080"/>
      <rgbColor rgb="FF0563C1"/>
      <rgbColor rgb="FFDAE3F3"/>
      <rgbColor rgb="FF000080"/>
      <rgbColor rgb="FFFF00FF"/>
      <rgbColor rgb="FFFFFF00"/>
      <rgbColor rgb="FF00FFFF"/>
      <rgbColor rgb="FF800080"/>
      <rgbColor rgb="FF800000"/>
      <rgbColor rgb="FF008080"/>
      <rgbColor rgb="FF0000FF"/>
      <rgbColor rgb="FF00B0F0"/>
      <rgbColor rgb="FFCCFFFF"/>
      <rgbColor rgb="FFCCFFCC"/>
      <rgbColor rgb="FFFFFF99"/>
      <rgbColor rgb="FFBFBFBF"/>
      <rgbColor rgb="FFFF99CC"/>
      <rgbColor rgb="FFCC99FF"/>
      <rgbColor rgb="FFFFCC99"/>
      <rgbColor rgb="FF3366FF"/>
      <rgbColor rgb="FF33CCCC"/>
      <rgbColor rgb="FF92D050"/>
      <rgbColor rgb="FFFFC000"/>
      <rgbColor rgb="FFFF9900"/>
      <rgbColor rgb="FFFF6600"/>
      <rgbColor rgb="FF666699"/>
      <rgbColor rgb="FFA6A6A6"/>
      <rgbColor rgb="FF17375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_rels/drawing10.xml.rels><?xml version="1.0" encoding="UTF-8"?>
<Relationships xmlns="http://schemas.openxmlformats.org/package/2006/relationships"><Relationship Id="rId1" Type="http://schemas.openxmlformats.org/officeDocument/2006/relationships/image" Target="../media/image1.png"/>
</Relationships>
</file>

<file path=xl/drawings/_rels/drawing11.xml.rels><?xml version="1.0" encoding="UTF-8"?>
<Relationships xmlns="http://schemas.openxmlformats.org/package/2006/relationships"><Relationship Id="rId1" Type="http://schemas.openxmlformats.org/officeDocument/2006/relationships/image" Target="../media/image2.png"/>
</Relationships>
</file>

<file path=xl/drawings/_rels/drawing13.xml.rels><?xml version="1.0" encoding="UTF-8"?>
<Relationships xmlns="http://schemas.openxmlformats.org/package/2006/relationships"><Relationship Id="rId1" Type="http://schemas.openxmlformats.org/officeDocument/2006/relationships/image" Target="../media/image3.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9360</xdr:rowOff>
    </xdr:from>
    <xdr:to>
      <xdr:col>1</xdr:col>
      <xdr:colOff>6390360</xdr:colOff>
      <xdr:row>0</xdr:row>
      <xdr:rowOff>2256120</xdr:rowOff>
    </xdr:to>
    <xdr:sp>
      <xdr:nvSpPr>
        <xdr:cNvPr id="0" name="CustomShape 1"/>
        <xdr:cNvSpPr/>
      </xdr:nvSpPr>
      <xdr:spPr>
        <a:xfrm>
          <a:off x="0" y="9360"/>
          <a:ext cx="8523360" cy="2246760"/>
        </a:xfrm>
        <a:prstGeom prst="rect">
          <a:avLst/>
        </a:prstGeom>
        <a:solidFill>
          <a:srgbClr val="ffffff"/>
        </a:solidFill>
        <a:ln w="9360">
          <a:solidFill>
            <a:srgbClr val="ffffff"/>
          </a:solidFill>
          <a:round/>
        </a:ln>
      </xdr:spPr>
      <xdr:style>
        <a:lnRef idx="0"/>
        <a:fillRef idx="0"/>
        <a:effectRef idx="0"/>
        <a:fontRef idx="minor"/>
      </xdr:style>
      <xdr:txBody>
        <a:bodyPr lIns="90000" rIns="90000" tIns="45000" bIns="45000" anchor="t">
          <a:noAutofit/>
        </a:bodyPr>
        <a:p>
          <a:pPr>
            <a:lnSpc>
              <a:spcPct val="100000"/>
            </a:lnSpc>
          </a:pPr>
          <a:r>
            <a:rPr b="0" lang="fr-FR" sz="1100" spc="-1" strike="noStrike">
              <a:solidFill>
                <a:srgbClr val="000000"/>
              </a:solidFill>
              <a:latin typeface="Calibri"/>
              <a:ea typeface="Arial"/>
            </a:rPr>
            <a:t>To do list :</a:t>
          </a:r>
          <a:endParaRPr b="0" lang="en-GB" sz="1100" spc="-1" strike="noStrike">
            <a:latin typeface="Times New Roman"/>
          </a:endParaRPr>
        </a:p>
        <a:p>
          <a:pPr>
            <a:lnSpc>
              <a:spcPct val="100000"/>
            </a:lnSpc>
          </a:pPr>
          <a:r>
            <a:rPr b="0" lang="fr-FR" sz="1100" spc="-1" strike="noStrike">
              <a:solidFill>
                <a:srgbClr val="000000"/>
              </a:solidFill>
              <a:latin typeface="Calibri"/>
              <a:ea typeface="Arial"/>
            </a:rPr>
            <a:t>(1) Please provide sampling information under </a:t>
          </a:r>
          <a:r>
            <a:rPr b="1" lang="fr-FR" sz="1100" spc="-1" strike="noStrike">
              <a:solidFill>
                <a:schemeClr val="dk2">
                  <a:lumMod val="75000"/>
                </a:schemeClr>
              </a:solidFill>
              <a:latin typeface="Calibri"/>
              <a:ea typeface="Arial"/>
            </a:rPr>
            <a:t>sampling_info</a:t>
          </a:r>
          <a:r>
            <a:rPr b="0" lang="fr-FR" sz="1100" spc="-1" strike="noStrike">
              <a:solidFill>
                <a:srgbClr val="77933c"/>
              </a:solidFill>
              <a:latin typeface="Calibri"/>
              <a:ea typeface="Arial"/>
            </a:rPr>
            <a:t>. </a:t>
          </a:r>
          <a:r>
            <a:rPr b="0" lang="fr-FR" sz="1100" spc="-1" strike="noStrike">
              <a:solidFill>
                <a:srgbClr val="000000"/>
              </a:solidFill>
              <a:latin typeface="Calibri"/>
              <a:ea typeface="Arial"/>
            </a:rPr>
            <a:t>The objective it to get a consistent sampling scheme at the EMU scale, and information about sampling objective and strategy should be provided. If different sampling strategies are used to collect different indices (e.g. one for biometrics and one for contaminants) describe those sampling as separate rows. Please provide a comment to explain any issues (e.g. COVID-19, reduced effort etc.) that may have affected your data collection for that specific sampling scheme and year. </a:t>
          </a:r>
          <a:endParaRPr b="0" lang="en-GB" sz="1100" spc="-1" strike="noStrike">
            <a:latin typeface="Times New Roman"/>
          </a:endParaRPr>
        </a:p>
        <a:p>
          <a:pPr>
            <a:lnSpc>
              <a:spcPct val="100000"/>
            </a:lnSpc>
          </a:pPr>
          <a:r>
            <a:rPr b="0" lang="fr-FR" sz="1100" spc="-1" strike="noStrike">
              <a:solidFill>
                <a:srgbClr val="000000"/>
              </a:solidFill>
              <a:latin typeface="Calibri"/>
              <a:ea typeface="Arial"/>
            </a:rPr>
            <a:t>(2) Use only </a:t>
          </a:r>
          <a:r>
            <a:rPr b="1" lang="fr-FR" sz="1100" spc="-1" strike="noStrike">
              <a:solidFill>
                <a:srgbClr val="92d050"/>
              </a:solidFill>
              <a:latin typeface="Calibri"/>
              <a:ea typeface="Arial"/>
            </a:rPr>
            <a:t>new_grouped metrics </a:t>
          </a:r>
          <a:r>
            <a:rPr b="0" lang="fr-FR" sz="1100" spc="-1" strike="noStrike">
              <a:solidFill>
                <a:srgbClr val="000000"/>
              </a:solidFill>
              <a:latin typeface="Calibri"/>
              <a:ea typeface="Arial"/>
            </a:rPr>
            <a:t>and </a:t>
          </a:r>
          <a:r>
            <a:rPr b="1" lang="fr-FR" sz="1100" spc="-1" strike="noStrike">
              <a:solidFill>
                <a:srgbClr val="92d050"/>
              </a:solidFill>
              <a:latin typeface="Calibri"/>
              <a:ea typeface="Arial"/>
            </a:rPr>
            <a:t>new_individual metrics </a:t>
          </a:r>
          <a:r>
            <a:rPr b="0" lang="fr-FR" sz="1100" spc="-1" strike="noStrike">
              <a:solidFill>
                <a:srgbClr val="000000"/>
              </a:solidFill>
              <a:latin typeface="Calibri"/>
              <a:ea typeface="Arial"/>
            </a:rPr>
            <a:t>sheets to provide all the available data on biometric metrics from sampling schemes not already covered under time series templates, at the group and the individual level, respectively. Eel quality data (related to Anguillicola, EVE, EVEX, HVA) are optional for this data call.</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endParaRPr b="0" lang="en-GB" sz="11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27</xdr:col>
      <xdr:colOff>140400</xdr:colOff>
      <xdr:row>0</xdr:row>
      <xdr:rowOff>239760</xdr:rowOff>
    </xdr:from>
    <xdr:to>
      <xdr:col>33</xdr:col>
      <xdr:colOff>275040</xdr:colOff>
      <xdr:row>5</xdr:row>
      <xdr:rowOff>151560</xdr:rowOff>
    </xdr:to>
    <xdr:sp>
      <xdr:nvSpPr>
        <xdr:cNvPr id="1" name="CustomShape 1"/>
        <xdr:cNvSpPr/>
      </xdr:nvSpPr>
      <xdr:spPr>
        <a:xfrm>
          <a:off x="24953040" y="239760"/>
          <a:ext cx="4649400" cy="1559520"/>
        </a:xfrm>
        <a:prstGeom prst="rect">
          <a:avLst/>
        </a:prstGeom>
        <a:solidFill>
          <a:srgbClr val="fcd5b5"/>
        </a:solidFill>
        <a:ln w="9360">
          <a:solidFill>
            <a:srgbClr val="ffffff"/>
          </a:solidFill>
          <a:round/>
        </a:ln>
      </xdr:spPr>
      <xdr:style>
        <a:lnRef idx="0"/>
        <a:fillRef idx="0"/>
        <a:effectRef idx="0"/>
        <a:fontRef idx="minor"/>
      </xdr:style>
      <xdr:txBody>
        <a:bodyPr lIns="90000" rIns="90000" tIns="45000" bIns="45000" anchor="t">
          <a:noAutofit/>
        </a:bodyPr>
        <a:p>
          <a:pPr>
            <a:lnSpc>
              <a:spcPct val="100000"/>
            </a:lnSpc>
          </a:pPr>
          <a:r>
            <a:rPr b="0" lang="en-GB" sz="1100" spc="-1" strike="noStrike">
              <a:solidFill>
                <a:srgbClr val="000000"/>
              </a:solidFill>
              <a:latin typeface="Calibri"/>
              <a:ea typeface="Arial"/>
            </a:rPr>
            <a:t>This is what we have in the database, please don't write any new values there. Use this sheet to copy the line to the updated _group_metrics sheet, then do the update there. </a:t>
          </a:r>
          <a:endParaRPr b="0" lang="en-GB"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24</xdr:col>
      <xdr:colOff>349920</xdr:colOff>
      <xdr:row>0</xdr:row>
      <xdr:rowOff>268200</xdr:rowOff>
    </xdr:from>
    <xdr:to>
      <xdr:col>29</xdr:col>
      <xdr:colOff>513360</xdr:colOff>
      <xdr:row>10</xdr:row>
      <xdr:rowOff>120240</xdr:rowOff>
    </xdr:to>
    <xdr:sp>
      <xdr:nvSpPr>
        <xdr:cNvPr id="2" name="CustomShape 1"/>
        <xdr:cNvSpPr/>
      </xdr:nvSpPr>
      <xdr:spPr>
        <a:xfrm>
          <a:off x="23504040" y="268200"/>
          <a:ext cx="3925800" cy="2309400"/>
        </a:xfrm>
        <a:prstGeom prst="rect">
          <a:avLst/>
        </a:prstGeom>
        <a:solidFill>
          <a:srgbClr val="fcd5b5"/>
        </a:solidFill>
        <a:ln w="9360">
          <a:solidFill>
            <a:srgbClr val="ffffff"/>
          </a:solidFill>
          <a:round/>
        </a:ln>
      </xdr:spPr>
      <xdr:style>
        <a:lnRef idx="0"/>
        <a:fillRef idx="0"/>
        <a:effectRef idx="0"/>
        <a:fontRef idx="minor"/>
      </xdr:style>
      <xdr:txBody>
        <a:bodyPr lIns="90000" rIns="90000" tIns="45000" bIns="45000" anchor="t">
          <a:noAutofit/>
        </a:bodyPr>
        <a:p>
          <a:pPr>
            <a:lnSpc>
              <a:spcPct val="100000"/>
            </a:lnSpc>
          </a:pPr>
          <a:r>
            <a:rPr b="0" lang="en-GB" sz="1100" spc="-1" strike="noStrike">
              <a:solidFill>
                <a:srgbClr val="000000"/>
              </a:solidFill>
              <a:latin typeface="Calibri"/>
              <a:ea typeface="Arial"/>
            </a:rPr>
            <a:t>These data are used to describe eel biometric and quality data, use annual average values, use columns appropriately according to the stage. Please fill in the proportion of glass eel in mixed glass eel / yellow eel recruitment series (in numbers; g_in_gy proportion) or proprotion of silver eel in the group (in numbers; s_in_ys_proportion) where relevant. </a:t>
          </a:r>
          <a:endParaRPr b="0" lang="en-GB" sz="11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25</xdr:col>
      <xdr:colOff>733320</xdr:colOff>
      <xdr:row>1</xdr:row>
      <xdr:rowOff>228600</xdr:rowOff>
    </xdr:from>
    <xdr:to>
      <xdr:col>32</xdr:col>
      <xdr:colOff>8280</xdr:colOff>
      <xdr:row>3</xdr:row>
      <xdr:rowOff>103320</xdr:rowOff>
    </xdr:to>
    <xdr:sp>
      <xdr:nvSpPr>
        <xdr:cNvPr id="3" name="CustomShape 1"/>
        <xdr:cNvSpPr/>
      </xdr:nvSpPr>
      <xdr:spPr>
        <a:xfrm>
          <a:off x="20495160" y="1228680"/>
          <a:ext cx="4926960" cy="570240"/>
        </a:xfrm>
        <a:prstGeom prst="rect">
          <a:avLst/>
        </a:prstGeom>
        <a:solidFill>
          <a:srgbClr val="fcd5b5"/>
        </a:solidFill>
        <a:ln w="9360">
          <a:solidFill>
            <a:srgbClr val="ffffff"/>
          </a:solidFill>
          <a:round/>
        </a:ln>
      </xdr:spPr>
      <xdr:style>
        <a:lnRef idx="0"/>
        <a:fillRef idx="0"/>
        <a:effectRef idx="0"/>
        <a:fontRef idx="minor"/>
      </xdr:style>
      <xdr:txBody>
        <a:bodyPr lIns="90000" rIns="90000" tIns="45000" bIns="45000" anchor="t">
          <a:noAutofit/>
        </a:bodyPr>
        <a:p>
          <a:pPr>
            <a:lnSpc>
              <a:spcPct val="100000"/>
            </a:lnSpc>
          </a:pPr>
          <a:r>
            <a:rPr b="0" lang="en-GB" sz="1100" spc="-1" strike="noStrike">
              <a:solidFill>
                <a:srgbClr val="000000"/>
              </a:solidFill>
              <a:latin typeface="Calibri"/>
              <a:ea typeface="Arial"/>
            </a:rPr>
            <a:t>Use this sheet to update/ correct existing data. Copy data from existing data and update necessary values. </a:t>
          </a:r>
          <a:endParaRPr b="0" lang="en-GB" sz="1100" spc="-1" strike="noStrike">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27</xdr:col>
      <xdr:colOff>247680</xdr:colOff>
      <xdr:row>1</xdr:row>
      <xdr:rowOff>9360</xdr:rowOff>
    </xdr:from>
    <xdr:to>
      <xdr:col>33</xdr:col>
      <xdr:colOff>494280</xdr:colOff>
      <xdr:row>7</xdr:row>
      <xdr:rowOff>36720</xdr:rowOff>
    </xdr:to>
    <xdr:sp>
      <xdr:nvSpPr>
        <xdr:cNvPr id="4" name="CustomShape 1"/>
        <xdr:cNvSpPr/>
      </xdr:nvSpPr>
      <xdr:spPr>
        <a:xfrm>
          <a:off x="20343600" y="1009440"/>
          <a:ext cx="4761360" cy="999000"/>
        </a:xfrm>
        <a:prstGeom prst="rect">
          <a:avLst/>
        </a:prstGeom>
        <a:solidFill>
          <a:srgbClr val="fcd5b5"/>
        </a:solidFill>
        <a:ln w="9360">
          <a:solidFill>
            <a:srgbClr val="ffffff"/>
          </a:solidFill>
          <a:round/>
        </a:ln>
      </xdr:spPr>
      <xdr:style>
        <a:lnRef idx="0"/>
        <a:fillRef idx="0"/>
        <a:effectRef idx="0"/>
        <a:fontRef idx="minor"/>
      </xdr:style>
      <xdr:txBody>
        <a:bodyPr lIns="90000" rIns="90000" tIns="45000" bIns="45000" anchor="t">
          <a:noAutofit/>
        </a:bodyPr>
        <a:p>
          <a:pPr>
            <a:lnSpc>
              <a:spcPct val="100000"/>
            </a:lnSpc>
          </a:pPr>
          <a:r>
            <a:rPr b="0" lang="en-GB" sz="1100" spc="-1" strike="noStrike">
              <a:solidFill>
                <a:srgbClr val="000000"/>
              </a:solidFill>
              <a:latin typeface="Calibri"/>
              <a:ea typeface="Arial"/>
            </a:rPr>
            <a:t>Use this sheet to delete any incorrect data under existing data. Copy data that you want to remove from the existing data.</a:t>
          </a:r>
          <a:endParaRPr b="0" lang="en-GB" sz="1100" spc="-1" strike="noStrike">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24</xdr:col>
      <xdr:colOff>432720</xdr:colOff>
      <xdr:row>0</xdr:row>
      <xdr:rowOff>770760</xdr:rowOff>
    </xdr:from>
    <xdr:to>
      <xdr:col>28</xdr:col>
      <xdr:colOff>431640</xdr:colOff>
      <xdr:row>7</xdr:row>
      <xdr:rowOff>62640</xdr:rowOff>
    </xdr:to>
    <xdr:sp>
      <xdr:nvSpPr>
        <xdr:cNvPr id="5" name="CustomShape 1"/>
        <xdr:cNvSpPr/>
      </xdr:nvSpPr>
      <xdr:spPr>
        <a:xfrm>
          <a:off x="22372560" y="770760"/>
          <a:ext cx="3008880" cy="1263600"/>
        </a:xfrm>
        <a:prstGeom prst="rect">
          <a:avLst/>
        </a:prstGeom>
        <a:solidFill>
          <a:srgbClr val="fcd5b5"/>
        </a:solidFill>
        <a:ln w="9360">
          <a:solidFill>
            <a:srgbClr val="ffffff"/>
          </a:solidFill>
          <a:round/>
        </a:ln>
      </xdr:spPr>
      <xdr:style>
        <a:lnRef idx="0"/>
        <a:fillRef idx="0"/>
        <a:effectRef idx="0"/>
        <a:fontRef idx="minor"/>
      </xdr:style>
      <xdr:txBody>
        <a:bodyPr lIns="90000" rIns="90000" tIns="45000" bIns="45000" anchor="t">
          <a:noAutofit/>
        </a:bodyPr>
        <a:p>
          <a:pPr>
            <a:lnSpc>
              <a:spcPct val="100000"/>
            </a:lnSpc>
          </a:pPr>
          <a:r>
            <a:rPr b="0" lang="en-GB" sz="1100" spc="-1" strike="noStrike">
              <a:solidFill>
                <a:srgbClr val="000000"/>
              </a:solidFill>
              <a:latin typeface="Calibri"/>
              <a:ea typeface="Arial"/>
            </a:rPr>
            <a:t>This is what we have in the database, please don't write any new values there. Use this sheet to copy the line to the updated_individual_metrics sheet, then do the update there.</a:t>
          </a:r>
          <a:endParaRPr b="0" lang="en-GB" sz="1100" spc="-1" strike="noStrike">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22</xdr:col>
      <xdr:colOff>263880</xdr:colOff>
      <xdr:row>0</xdr:row>
      <xdr:rowOff>392760</xdr:rowOff>
    </xdr:from>
    <xdr:to>
      <xdr:col>27</xdr:col>
      <xdr:colOff>8280</xdr:colOff>
      <xdr:row>4</xdr:row>
      <xdr:rowOff>28800</xdr:rowOff>
    </xdr:to>
    <xdr:sp>
      <xdr:nvSpPr>
        <xdr:cNvPr id="6" name="CustomShape 1"/>
        <xdr:cNvSpPr/>
      </xdr:nvSpPr>
      <xdr:spPr>
        <a:xfrm>
          <a:off x="16705800" y="392760"/>
          <a:ext cx="3506760" cy="1122120"/>
        </a:xfrm>
        <a:prstGeom prst="rect">
          <a:avLst/>
        </a:prstGeom>
        <a:solidFill>
          <a:srgbClr val="fcd5b5"/>
        </a:solidFill>
        <a:ln w="9360">
          <a:solidFill>
            <a:srgbClr val="ffffff"/>
          </a:solidFill>
          <a:round/>
        </a:ln>
      </xdr:spPr>
      <xdr:style>
        <a:lnRef idx="0"/>
        <a:fillRef idx="0"/>
        <a:effectRef idx="0"/>
        <a:fontRef idx="minor"/>
      </xdr:style>
      <xdr:txBody>
        <a:bodyPr lIns="90000" rIns="90000" tIns="45000" bIns="45000" anchor="t">
          <a:noAutofit/>
        </a:bodyPr>
        <a:p>
          <a:pPr>
            <a:lnSpc>
              <a:spcPct val="100000"/>
            </a:lnSpc>
          </a:pPr>
          <a:r>
            <a:rPr b="0" lang="en-GB" sz="1100" spc="-1" strike="noStrike">
              <a:solidFill>
                <a:srgbClr val="000000"/>
              </a:solidFill>
              <a:latin typeface="Calibri"/>
              <a:ea typeface="Arial"/>
            </a:rPr>
            <a:t>These data are used to describe eel biometric and quality data (e.g. diseases) per individual. </a:t>
          </a:r>
          <a:endParaRPr b="0" lang="en-GB" sz="1100" spc="-1" strike="noStrike">
            <a:latin typeface="Times New Roman"/>
          </a:endParaRPr>
        </a:p>
      </xdr:txBody>
    </xdr:sp>
    <xdr:clientData/>
  </xdr:twoCellAnchor>
  <xdr:twoCellAnchor editAs="absolute">
    <xdr:from>
      <xdr:col>1</xdr:col>
      <xdr:colOff>53280</xdr:colOff>
      <xdr:row>0</xdr:row>
      <xdr:rowOff>0</xdr:rowOff>
    </xdr:from>
    <xdr:to>
      <xdr:col>3</xdr:col>
      <xdr:colOff>159480</xdr:colOff>
      <xdr:row>0</xdr:row>
      <xdr:rowOff>761760</xdr:rowOff>
    </xdr:to>
    <xdr:sp>
      <xdr:nvSpPr>
        <xdr:cNvPr id="7" name="Text Box 1025" hidden="1"/>
        <xdr:cNvSpPr/>
      </xdr:nvSpPr>
      <xdr:spPr>
        <a:xfrm>
          <a:off x="805680" y="0"/>
          <a:ext cx="1285560" cy="761760"/>
        </a:xfrm>
        <a:prstGeom prst="rect">
          <a:avLst/>
        </a:prstGeom>
        <a:solidFill>
          <a:srgbClr val="ffffe1"/>
        </a:solidFill>
        <a:ln w="9525">
          <a:solidFill>
            <a:srgbClr val="510000"/>
          </a:solidFill>
          <a:miter/>
        </a:ln>
      </xdr:spPr>
      <xdr:style>
        <a:lnRef idx="0"/>
        <a:fillRef idx="0"/>
        <a:effectRef idx="0"/>
        <a:fontRef idx="minor"/>
      </xdr:style>
    </xdr:sp>
    <xdr:clientData/>
  </xdr:twoCellAnchor>
  <xdr:twoCellAnchor editAs="absolute">
    <xdr:from>
      <xdr:col>1</xdr:col>
      <xdr:colOff>47520</xdr:colOff>
      <xdr:row>0</xdr:row>
      <xdr:rowOff>0</xdr:rowOff>
    </xdr:from>
    <xdr:to>
      <xdr:col>3</xdr:col>
      <xdr:colOff>151920</xdr:colOff>
      <xdr:row>0</xdr:row>
      <xdr:rowOff>761760</xdr:rowOff>
    </xdr:to>
    <xdr:sp>
      <xdr:nvSpPr>
        <xdr:cNvPr id="8" name="Text Box 3" hidden="1"/>
        <xdr:cNvSpPr/>
      </xdr:nvSpPr>
      <xdr:spPr>
        <a:xfrm>
          <a:off x="799920" y="0"/>
          <a:ext cx="1283760" cy="761760"/>
        </a:xfrm>
        <a:prstGeom prst="rect">
          <a:avLst/>
        </a:prstGeom>
        <a:solidFill>
          <a:srgbClr val="ffffe1"/>
        </a:solidFill>
        <a:ln w="9525">
          <a:solidFill>
            <a:srgbClr val="510000"/>
          </a:solidFill>
          <a:miter/>
        </a:ln>
      </xdr:spPr>
      <xdr:style>
        <a:lnRef idx="0"/>
        <a:fillRef idx="0"/>
        <a:effectRef idx="0"/>
        <a:fontRef idx="minor"/>
      </xdr:style>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24</xdr:col>
      <xdr:colOff>471240</xdr:colOff>
      <xdr:row>0</xdr:row>
      <xdr:rowOff>310680</xdr:rowOff>
    </xdr:from>
    <xdr:to>
      <xdr:col>30</xdr:col>
      <xdr:colOff>343800</xdr:colOff>
      <xdr:row>5</xdr:row>
      <xdr:rowOff>90360</xdr:rowOff>
    </xdr:to>
    <xdr:sp>
      <xdr:nvSpPr>
        <xdr:cNvPr id="9" name="CustomShape 1"/>
        <xdr:cNvSpPr/>
      </xdr:nvSpPr>
      <xdr:spPr>
        <a:xfrm>
          <a:off x="19178280" y="310680"/>
          <a:ext cx="4387320" cy="1427400"/>
        </a:xfrm>
        <a:prstGeom prst="rect">
          <a:avLst/>
        </a:prstGeom>
        <a:solidFill>
          <a:srgbClr val="fcd5b5"/>
        </a:solidFill>
        <a:ln w="9360">
          <a:solidFill>
            <a:srgbClr val="ffffff"/>
          </a:solidFill>
          <a:round/>
        </a:ln>
      </xdr:spPr>
      <xdr:style>
        <a:lnRef idx="0"/>
        <a:fillRef idx="0"/>
        <a:effectRef idx="0"/>
        <a:fontRef idx="minor"/>
      </xdr:style>
      <xdr:txBody>
        <a:bodyPr lIns="90000" rIns="90000" tIns="45000" bIns="45000" anchor="t">
          <a:noAutofit/>
        </a:bodyPr>
        <a:p>
          <a:pPr>
            <a:lnSpc>
              <a:spcPct val="100000"/>
            </a:lnSpc>
          </a:pPr>
          <a:r>
            <a:rPr b="0" lang="en-GB" sz="1100" spc="-1" strike="noStrike">
              <a:solidFill>
                <a:srgbClr val="000000"/>
              </a:solidFill>
              <a:latin typeface="Calibri"/>
              <a:ea typeface="Arial"/>
            </a:rPr>
            <a:t>Use this sheet to update/ correct existing data. Copy data from existing data and update necessary values. </a:t>
          </a:r>
          <a:endParaRPr b="0" lang="en-GB" sz="1100" spc="-1" strike="noStrike">
            <a:latin typeface="Times New Roman"/>
          </a:endParaRPr>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twoCell">
    <xdr:from>
      <xdr:col>24</xdr:col>
      <xdr:colOff>281520</xdr:colOff>
      <xdr:row>0</xdr:row>
      <xdr:rowOff>380880</xdr:rowOff>
    </xdr:from>
    <xdr:to>
      <xdr:col>31</xdr:col>
      <xdr:colOff>356760</xdr:colOff>
      <xdr:row>5</xdr:row>
      <xdr:rowOff>84600</xdr:rowOff>
    </xdr:to>
    <xdr:sp>
      <xdr:nvSpPr>
        <xdr:cNvPr id="10" name="CustomShape 1"/>
        <xdr:cNvSpPr/>
      </xdr:nvSpPr>
      <xdr:spPr>
        <a:xfrm>
          <a:off x="18988560" y="380880"/>
          <a:ext cx="5342760" cy="1351440"/>
        </a:xfrm>
        <a:prstGeom prst="rect">
          <a:avLst/>
        </a:prstGeom>
        <a:solidFill>
          <a:srgbClr val="fcd5b5"/>
        </a:solidFill>
        <a:ln w="9360">
          <a:solidFill>
            <a:srgbClr val="ffffff"/>
          </a:solidFill>
          <a:round/>
        </a:ln>
      </xdr:spPr>
      <xdr:style>
        <a:lnRef idx="0"/>
        <a:fillRef idx="0"/>
        <a:effectRef idx="0"/>
        <a:fontRef idx="minor"/>
      </xdr:style>
      <xdr:txBody>
        <a:bodyPr lIns="90000" rIns="90000" tIns="45000" bIns="45000" anchor="t">
          <a:noAutofit/>
        </a:bodyPr>
        <a:p>
          <a:pPr>
            <a:lnSpc>
              <a:spcPct val="100000"/>
            </a:lnSpc>
            <a:tabLst>
              <a:tab algn="l" pos="0"/>
            </a:tabLst>
          </a:pPr>
          <a:r>
            <a:rPr b="0" lang="en-GB" sz="1100" spc="-1" strike="noStrike">
              <a:solidFill>
                <a:srgbClr val="000000"/>
              </a:solidFill>
              <a:latin typeface="Calibri"/>
              <a:ea typeface="Arial"/>
            </a:rPr>
            <a:t>Use this sheet to delete any incorrect data under existing data. Copy data that you want to remove from the existing data.</a:t>
          </a:r>
          <a:endParaRPr b="0" lang="en-GB" sz="1100" spc="-1" strike="noStrike">
            <a:latin typeface="Times New Roman"/>
          </a:endParaRPr>
        </a:p>
        <a:p>
          <a:pPr>
            <a:lnSpc>
              <a:spcPct val="100000"/>
            </a:lnSpc>
            <a:tabLst>
              <a:tab algn="l" pos="0"/>
            </a:tabLst>
          </a:pPr>
          <a:endParaRPr b="0" lang="en-GB" sz="1100" spc="-1" strike="noStrike">
            <a:latin typeface="Times New Roman"/>
          </a:endParaRPr>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8</xdr:row>
      <xdr:rowOff>0</xdr:rowOff>
    </xdr:from>
    <xdr:to>
      <xdr:col>15</xdr:col>
      <xdr:colOff>282240</xdr:colOff>
      <xdr:row>45</xdr:row>
      <xdr:rowOff>156600</xdr:rowOff>
    </xdr:to>
    <xdr:pic>
      <xdr:nvPicPr>
        <xdr:cNvPr id="11" name="Image 1" descr=""/>
        <xdr:cNvPicPr/>
      </xdr:nvPicPr>
      <xdr:blipFill>
        <a:blip r:embed="rId1"/>
        <a:stretch/>
      </xdr:blipFill>
      <xdr:spPr>
        <a:xfrm>
          <a:off x="4011840" y="1523880"/>
          <a:ext cx="9118440" cy="720540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38160</xdr:colOff>
      <xdr:row>3</xdr:row>
      <xdr:rowOff>38160</xdr:rowOff>
    </xdr:from>
    <xdr:to>
      <xdr:col>16</xdr:col>
      <xdr:colOff>264960</xdr:colOff>
      <xdr:row>43</xdr:row>
      <xdr:rowOff>71280</xdr:rowOff>
    </xdr:to>
    <xdr:pic>
      <xdr:nvPicPr>
        <xdr:cNvPr id="12" name="Image 1" descr=""/>
        <xdr:cNvPicPr/>
      </xdr:nvPicPr>
      <xdr:blipFill>
        <a:blip r:embed="rId1"/>
        <a:stretch/>
      </xdr:blipFill>
      <xdr:spPr>
        <a:xfrm>
          <a:off x="4054680" y="609840"/>
          <a:ext cx="9062640" cy="756720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twoCell">
    <xdr:from>
      <xdr:col>6</xdr:col>
      <xdr:colOff>3240</xdr:colOff>
      <xdr:row>4</xdr:row>
      <xdr:rowOff>28440</xdr:rowOff>
    </xdr:from>
    <xdr:to>
      <xdr:col>6</xdr:col>
      <xdr:colOff>3600</xdr:colOff>
      <xdr:row>5</xdr:row>
      <xdr:rowOff>37440</xdr:rowOff>
    </xdr:to>
    <xdr:sp>
      <xdr:nvSpPr>
        <xdr:cNvPr id="13" name="CustomShape 1"/>
        <xdr:cNvSpPr/>
      </xdr:nvSpPr>
      <xdr:spPr>
        <a:xfrm>
          <a:off x="6771600" y="695160"/>
          <a:ext cx="360" cy="171000"/>
        </a:xfrm>
        <a:prstGeom prst="rect">
          <a:avLst/>
        </a:prstGeom>
        <a:noFill/>
        <a:ln w="0">
          <a:noFill/>
        </a:ln>
      </xdr:spPr>
      <xdr:style>
        <a:lnRef idx="0"/>
        <a:fillRef idx="0"/>
        <a:effectRef idx="0"/>
        <a:fontRef idx="minor"/>
      </xdr:style>
    </xdr:sp>
    <xdr:clientData/>
  </xdr:twoCellAnchor>
  <xdr:twoCellAnchor editAs="twoCell">
    <xdr:from>
      <xdr:col>6</xdr:col>
      <xdr:colOff>3240</xdr:colOff>
      <xdr:row>5</xdr:row>
      <xdr:rowOff>28440</xdr:rowOff>
    </xdr:from>
    <xdr:to>
      <xdr:col>6</xdr:col>
      <xdr:colOff>3600</xdr:colOff>
      <xdr:row>6</xdr:row>
      <xdr:rowOff>37440</xdr:rowOff>
    </xdr:to>
    <xdr:sp>
      <xdr:nvSpPr>
        <xdr:cNvPr id="14" name="CustomShape 1"/>
        <xdr:cNvSpPr/>
      </xdr:nvSpPr>
      <xdr:spPr>
        <a:xfrm>
          <a:off x="6771600" y="857160"/>
          <a:ext cx="360" cy="171000"/>
        </a:xfrm>
        <a:prstGeom prst="rect">
          <a:avLst/>
        </a:prstGeom>
        <a:noFill/>
        <a:ln w="0">
          <a:noFill/>
        </a:ln>
      </xdr:spPr>
      <xdr:style>
        <a:lnRef idx="0"/>
        <a:fillRef idx="0"/>
        <a:effectRef idx="0"/>
        <a:fontRef idx="minor"/>
      </xdr:style>
    </xdr:sp>
    <xdr:clientData/>
  </xdr:twoCellAnchor>
  <xdr:twoCellAnchor editAs="twoCell">
    <xdr:from>
      <xdr:col>6</xdr:col>
      <xdr:colOff>3240</xdr:colOff>
      <xdr:row>21</xdr:row>
      <xdr:rowOff>0</xdr:rowOff>
    </xdr:from>
    <xdr:to>
      <xdr:col>6</xdr:col>
      <xdr:colOff>3600</xdr:colOff>
      <xdr:row>22</xdr:row>
      <xdr:rowOff>9000</xdr:rowOff>
    </xdr:to>
    <xdr:sp>
      <xdr:nvSpPr>
        <xdr:cNvPr id="15" name="CustomShape 1"/>
        <xdr:cNvSpPr/>
      </xdr:nvSpPr>
      <xdr:spPr>
        <a:xfrm>
          <a:off x="6771600" y="3533760"/>
          <a:ext cx="360" cy="171000"/>
        </a:xfrm>
        <a:prstGeom prst="rect">
          <a:avLst/>
        </a:prstGeom>
        <a:noFill/>
        <a:ln w="0">
          <a:noFill/>
        </a:ln>
      </xdr:spPr>
      <xdr:style>
        <a:lnRef idx="0"/>
        <a:fillRef idx="0"/>
        <a:effectRef idx="0"/>
        <a:fontRef idx="minor"/>
      </xdr:style>
    </xdr:sp>
    <xdr:clientData/>
  </xdr:twoCellAnchor>
  <xdr:twoCellAnchor editAs="twoCell">
    <xdr:from>
      <xdr:col>6</xdr:col>
      <xdr:colOff>3240</xdr:colOff>
      <xdr:row>21</xdr:row>
      <xdr:rowOff>0</xdr:rowOff>
    </xdr:from>
    <xdr:to>
      <xdr:col>6</xdr:col>
      <xdr:colOff>3600</xdr:colOff>
      <xdr:row>22</xdr:row>
      <xdr:rowOff>9000</xdr:rowOff>
    </xdr:to>
    <xdr:sp>
      <xdr:nvSpPr>
        <xdr:cNvPr id="16" name="CustomShape 1"/>
        <xdr:cNvSpPr/>
      </xdr:nvSpPr>
      <xdr:spPr>
        <a:xfrm>
          <a:off x="6771600" y="3533760"/>
          <a:ext cx="360" cy="171000"/>
        </a:xfrm>
        <a:prstGeom prst="rect">
          <a:avLst/>
        </a:prstGeom>
        <a:noFill/>
        <a:ln w="0">
          <a:noFill/>
        </a:ln>
      </xdr:spPr>
      <xdr:style>
        <a:lnRef idx="0"/>
        <a:fillRef idx="0"/>
        <a:effectRef idx="0"/>
        <a:fontRef idx="minor"/>
      </xdr:style>
    </xdr:sp>
    <xdr:clientData/>
  </xdr:twoCellAnchor>
  <xdr:twoCellAnchor editAs="twoCell">
    <xdr:from>
      <xdr:col>6</xdr:col>
      <xdr:colOff>3240</xdr:colOff>
      <xdr:row>24</xdr:row>
      <xdr:rowOff>0</xdr:rowOff>
    </xdr:from>
    <xdr:to>
      <xdr:col>6</xdr:col>
      <xdr:colOff>3600</xdr:colOff>
      <xdr:row>25</xdr:row>
      <xdr:rowOff>9000</xdr:rowOff>
    </xdr:to>
    <xdr:sp>
      <xdr:nvSpPr>
        <xdr:cNvPr id="17" name="CustomShape 1"/>
        <xdr:cNvSpPr/>
      </xdr:nvSpPr>
      <xdr:spPr>
        <a:xfrm>
          <a:off x="6771600" y="4019400"/>
          <a:ext cx="360" cy="171000"/>
        </a:xfrm>
        <a:prstGeom prst="rect">
          <a:avLst/>
        </a:prstGeom>
        <a:noFill/>
        <a:ln w="0">
          <a:noFill/>
        </a:ln>
      </xdr:spPr>
      <xdr:style>
        <a:lnRef idx="0"/>
        <a:fillRef idx="0"/>
        <a:effectRef idx="0"/>
        <a:fontRef idx="minor"/>
      </xdr:style>
    </xdr:sp>
    <xdr:clientData/>
  </xdr:twoCellAnchor>
  <xdr:twoCellAnchor editAs="twoCell">
    <xdr:from>
      <xdr:col>6</xdr:col>
      <xdr:colOff>3240</xdr:colOff>
      <xdr:row>24</xdr:row>
      <xdr:rowOff>0</xdr:rowOff>
    </xdr:from>
    <xdr:to>
      <xdr:col>6</xdr:col>
      <xdr:colOff>3600</xdr:colOff>
      <xdr:row>25</xdr:row>
      <xdr:rowOff>9000</xdr:rowOff>
    </xdr:to>
    <xdr:sp>
      <xdr:nvSpPr>
        <xdr:cNvPr id="18" name="CustomShape 1"/>
        <xdr:cNvSpPr/>
      </xdr:nvSpPr>
      <xdr:spPr>
        <a:xfrm>
          <a:off x="6771600" y="4019400"/>
          <a:ext cx="360" cy="171000"/>
        </a:xfrm>
        <a:prstGeom prst="rect">
          <a:avLst/>
        </a:prstGeom>
        <a:noFill/>
        <a:ln w="0">
          <a:noFill/>
        </a:ln>
      </xdr:spPr>
      <xdr:style>
        <a:lnRef idx="0"/>
        <a:fillRef idx="0"/>
        <a:effectRef idx="0"/>
        <a:fontRef idx="minor"/>
      </xdr:style>
    </xdr:sp>
    <xdr:clientData/>
  </xdr:twoCellAnchor>
  <xdr:twoCellAnchor editAs="twoCell">
    <xdr:from>
      <xdr:col>6</xdr:col>
      <xdr:colOff>3240</xdr:colOff>
      <xdr:row>6</xdr:row>
      <xdr:rowOff>28440</xdr:rowOff>
    </xdr:from>
    <xdr:to>
      <xdr:col>6</xdr:col>
      <xdr:colOff>3600</xdr:colOff>
      <xdr:row>7</xdr:row>
      <xdr:rowOff>37800</xdr:rowOff>
    </xdr:to>
    <xdr:sp>
      <xdr:nvSpPr>
        <xdr:cNvPr id="19" name="CustomShape 1"/>
        <xdr:cNvSpPr/>
      </xdr:nvSpPr>
      <xdr:spPr>
        <a:xfrm>
          <a:off x="6771600" y="1019160"/>
          <a:ext cx="360" cy="171000"/>
        </a:xfrm>
        <a:prstGeom prst="rect">
          <a:avLst/>
        </a:prstGeom>
        <a:noFill/>
        <a:ln w="0">
          <a:noFill/>
        </a:ln>
      </xdr:spPr>
      <xdr:style>
        <a:lnRef idx="0"/>
        <a:fillRef idx="0"/>
        <a:effectRef idx="0"/>
        <a:fontRef idx="minor"/>
      </xdr:style>
    </xdr:sp>
    <xdr:clientData/>
  </xdr:twoCellAnchor>
  <xdr:twoCellAnchor editAs="twoCell">
    <xdr:from>
      <xdr:col>6</xdr:col>
      <xdr:colOff>3240</xdr:colOff>
      <xdr:row>25</xdr:row>
      <xdr:rowOff>0</xdr:rowOff>
    </xdr:from>
    <xdr:to>
      <xdr:col>6</xdr:col>
      <xdr:colOff>3600</xdr:colOff>
      <xdr:row>26</xdr:row>
      <xdr:rowOff>9000</xdr:rowOff>
    </xdr:to>
    <xdr:sp>
      <xdr:nvSpPr>
        <xdr:cNvPr id="20" name="CustomShape 1"/>
        <xdr:cNvSpPr/>
      </xdr:nvSpPr>
      <xdr:spPr>
        <a:xfrm>
          <a:off x="6771600" y="4181400"/>
          <a:ext cx="360" cy="171000"/>
        </a:xfrm>
        <a:prstGeom prst="rect">
          <a:avLst/>
        </a:prstGeom>
        <a:noFill/>
        <a:ln w="0">
          <a:noFill/>
        </a:ln>
      </xdr:spPr>
      <xdr:style>
        <a:lnRef idx="0"/>
        <a:fillRef idx="0"/>
        <a:effectRef idx="0"/>
        <a:fontRef idx="minor"/>
      </xdr:style>
    </xdr:sp>
    <xdr:clientData/>
  </xdr:twoCellAnchor>
  <xdr:twoCellAnchor editAs="twoCell">
    <xdr:from>
      <xdr:col>6</xdr:col>
      <xdr:colOff>3240</xdr:colOff>
      <xdr:row>25</xdr:row>
      <xdr:rowOff>0</xdr:rowOff>
    </xdr:from>
    <xdr:to>
      <xdr:col>6</xdr:col>
      <xdr:colOff>3600</xdr:colOff>
      <xdr:row>26</xdr:row>
      <xdr:rowOff>9000</xdr:rowOff>
    </xdr:to>
    <xdr:sp>
      <xdr:nvSpPr>
        <xdr:cNvPr id="21" name="CustomShape 1"/>
        <xdr:cNvSpPr/>
      </xdr:nvSpPr>
      <xdr:spPr>
        <a:xfrm>
          <a:off x="6771600" y="4181400"/>
          <a:ext cx="360" cy="171000"/>
        </a:xfrm>
        <a:prstGeom prst="rect">
          <a:avLst/>
        </a:prstGeom>
        <a:noFill/>
        <a:ln w="0">
          <a:noFill/>
        </a:ln>
      </xdr:spPr>
      <xdr:style>
        <a:lnRef idx="0"/>
        <a:fillRef idx="0"/>
        <a:effectRef idx="0"/>
        <a:fontRef idx="minor"/>
      </xdr:style>
    </xdr:sp>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587160</xdr:colOff>
      <xdr:row>11</xdr:row>
      <xdr:rowOff>720</xdr:rowOff>
    </xdr:from>
    <xdr:to>
      <xdr:col>21</xdr:col>
      <xdr:colOff>358560</xdr:colOff>
      <xdr:row>36</xdr:row>
      <xdr:rowOff>3960</xdr:rowOff>
    </xdr:to>
    <xdr:pic>
      <xdr:nvPicPr>
        <xdr:cNvPr id="22" name="Picture 1" descr=""/>
        <xdr:cNvPicPr/>
      </xdr:nvPicPr>
      <xdr:blipFill>
        <a:blip r:embed="rId1"/>
        <a:stretch/>
      </xdr:blipFill>
      <xdr:spPr>
        <a:xfrm>
          <a:off x="10877400" y="2096280"/>
          <a:ext cx="6146640" cy="4765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hyperlink" Target="http://gis.ices.dk/sf/index.html?widget=StatRec" TargetMode="External"/><Relationship Id="rId2" Type="http://schemas.openxmlformats.org/officeDocument/2006/relationships/hyperlink" Target="http://www.fao.org/fishery/area/search/en" TargetMode="External"/><Relationship Id="rId3"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B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0" activeCellId="0" sqref="A10"/>
    </sheetView>
  </sheetViews>
  <sheetFormatPr defaultColWidth="10.6796875" defaultRowHeight="12.75" zeroHeight="false" outlineLevelRow="0" outlineLevelCol="0"/>
  <cols>
    <col collapsed="false" customWidth="true" hidden="false" outlineLevel="0" max="1" min="1" style="0" width="30.26"/>
    <col collapsed="false" customWidth="true" hidden="false" outlineLevel="0" max="2" min="2" style="0" width="97.39"/>
    <col collapsed="false" customWidth="true" hidden="false" outlineLevel="0" max="3" min="3" style="0" width="37"/>
    <col collapsed="false" customWidth="true" hidden="false" outlineLevel="0" max="256" min="4" style="0" width="20.26"/>
  </cols>
  <sheetData>
    <row r="1" customFormat="false" ht="206.25" hidden="false" customHeight="true" outlineLevel="0" collapsed="false"/>
    <row r="2" customFormat="false" ht="12.75" hidden="false" customHeight="false" outlineLevel="0" collapsed="false">
      <c r="A2" s="1" t="s">
        <v>0</v>
      </c>
      <c r="B2" s="2" t="s">
        <v>1</v>
      </c>
    </row>
    <row r="3" customFormat="false" ht="26.25" hidden="false" customHeight="true" outlineLevel="0" collapsed="false">
      <c r="A3" s="3" t="s">
        <v>2</v>
      </c>
      <c r="B3" s="4" t="s">
        <v>3</v>
      </c>
    </row>
    <row r="4" customFormat="false" ht="20.25" hidden="false" customHeight="true" outlineLevel="0" collapsed="false">
      <c r="A4" s="3" t="s">
        <v>4</v>
      </c>
      <c r="B4" s="5" t="s">
        <v>5</v>
      </c>
    </row>
    <row r="5" customFormat="false" ht="12.75" hidden="false" customHeight="false" outlineLevel="0" collapsed="false">
      <c r="A5" s="6" t="s">
        <v>6</v>
      </c>
      <c r="B5" s="5" t="s">
        <v>7</v>
      </c>
    </row>
    <row r="6" customFormat="false" ht="30" hidden="false" customHeight="true" outlineLevel="0" collapsed="false">
      <c r="A6" s="6" t="s">
        <v>8</v>
      </c>
      <c r="B6" s="5" t="s">
        <v>9</v>
      </c>
    </row>
    <row r="7" customFormat="false" ht="12.75" hidden="false" customHeight="false" outlineLevel="0" collapsed="false">
      <c r="A7" s="6" t="s">
        <v>10</v>
      </c>
      <c r="B7" s="5" t="s">
        <v>11</v>
      </c>
    </row>
    <row r="8" customFormat="false" ht="12.75" hidden="false" customHeight="false" outlineLevel="0" collapsed="false">
      <c r="A8" s="6" t="s">
        <v>12</v>
      </c>
      <c r="B8" s="5" t="s">
        <v>13</v>
      </c>
    </row>
    <row r="9" customFormat="false" ht="12.75" hidden="false" customHeight="false" outlineLevel="0" collapsed="false">
      <c r="A9" s="6" t="s">
        <v>14</v>
      </c>
      <c r="B9" s="5" t="s">
        <v>15</v>
      </c>
    </row>
    <row r="10" customFormat="false" ht="12.75" hidden="false" customHeight="false" outlineLevel="0" collapsed="false">
      <c r="A10" s="6" t="s">
        <v>16</v>
      </c>
      <c r="B10" s="4" t="s">
        <v>17</v>
      </c>
    </row>
    <row r="11" customFormat="false" ht="12.75" hidden="false" customHeight="false" outlineLevel="0" collapsed="false">
      <c r="A11" s="7" t="s">
        <v>18</v>
      </c>
      <c r="B11" s="4" t="s">
        <v>19</v>
      </c>
    </row>
    <row r="12" customFormat="false" ht="12.75" hidden="false" customHeight="false" outlineLevel="0" collapsed="false">
      <c r="A12" s="7" t="s">
        <v>20</v>
      </c>
      <c r="B12" s="4" t="s">
        <v>21</v>
      </c>
    </row>
    <row r="13" customFormat="false" ht="12.75" hidden="false" customHeight="false" outlineLevel="0" collapsed="false">
      <c r="A13" s="8" t="s">
        <v>22</v>
      </c>
      <c r="B13" s="4" t="s">
        <v>23</v>
      </c>
    </row>
    <row r="14" customFormat="false" ht="12.75" hidden="false" customHeight="false" outlineLevel="0" collapsed="false">
      <c r="A14" s="8" t="s">
        <v>24</v>
      </c>
      <c r="B14" s="4" t="s">
        <v>23</v>
      </c>
    </row>
    <row r="15" customFormat="false" ht="33" hidden="false" customHeight="true" outlineLevel="0" collapsed="false">
      <c r="A15" s="9"/>
      <c r="B15" s="5"/>
    </row>
    <row r="16" customFormat="false" ht="12.75" hidden="false" customHeight="false" outlineLevel="0" collapsed="false">
      <c r="A16" s="10" t="s">
        <v>25</v>
      </c>
      <c r="B16" s="2" t="s">
        <v>1</v>
      </c>
    </row>
    <row r="17" customFormat="false" ht="26.25" hidden="false" customHeight="true" outlineLevel="0" collapsed="false">
      <c r="A17" s="6" t="s">
        <v>26</v>
      </c>
      <c r="B17" s="5" t="s">
        <v>27</v>
      </c>
    </row>
    <row r="18" customFormat="false" ht="12.75" hidden="false" customHeight="false" outlineLevel="0" collapsed="false">
      <c r="A18" s="3" t="s">
        <v>2</v>
      </c>
      <c r="B18" s="4" t="s">
        <v>28</v>
      </c>
    </row>
    <row r="19" customFormat="false" ht="26.25" hidden="false" customHeight="true" outlineLevel="0" collapsed="false">
      <c r="A19" s="6" t="s">
        <v>29</v>
      </c>
      <c r="B19" s="5" t="s">
        <v>30</v>
      </c>
    </row>
    <row r="20" customFormat="false" ht="12.75" hidden="false" customHeight="false" outlineLevel="0" collapsed="false">
      <c r="A20" s="6" t="s">
        <v>31</v>
      </c>
      <c r="B20" s="5" t="s">
        <v>32</v>
      </c>
    </row>
    <row r="21" customFormat="false" ht="12.75" hidden="false" customHeight="false" outlineLevel="0" collapsed="false">
      <c r="A21" s="6" t="s">
        <v>33</v>
      </c>
      <c r="B21" s="5" t="s">
        <v>34</v>
      </c>
    </row>
    <row r="22" customFormat="false" ht="13.5" hidden="false" customHeight="true" outlineLevel="0" collapsed="false">
      <c r="A22" s="6" t="s">
        <v>35</v>
      </c>
      <c r="B22" s="4" t="s">
        <v>36</v>
      </c>
    </row>
    <row r="23" customFormat="false" ht="13.5" hidden="false" customHeight="true" outlineLevel="0" collapsed="false">
      <c r="A23" s="6" t="s">
        <v>37</v>
      </c>
      <c r="B23" s="4" t="s">
        <v>38</v>
      </c>
    </row>
    <row r="24" customFormat="false" ht="13.5" hidden="false" customHeight="true" outlineLevel="0" collapsed="false">
      <c r="A24" s="6" t="s">
        <v>39</v>
      </c>
      <c r="B24" s="4" t="s">
        <v>38</v>
      </c>
    </row>
    <row r="25" customFormat="false" ht="12.75" hidden="false" customHeight="false" outlineLevel="0" collapsed="false">
      <c r="A25" s="6" t="s">
        <v>40</v>
      </c>
      <c r="B25" s="5" t="s">
        <v>41</v>
      </c>
    </row>
    <row r="26" customFormat="false" ht="12.75" hidden="false" customHeight="false" outlineLevel="0" collapsed="false">
      <c r="A26" s="6" t="s">
        <v>42</v>
      </c>
      <c r="B26" s="5" t="s">
        <v>43</v>
      </c>
    </row>
    <row r="27" customFormat="false" ht="12.75" hidden="false" customHeight="false" outlineLevel="0" collapsed="false">
      <c r="A27" s="6" t="s">
        <v>44</v>
      </c>
      <c r="B27" s="5" t="s">
        <v>45</v>
      </c>
    </row>
    <row r="28" customFormat="false" ht="12.75" hidden="false" customHeight="false" outlineLevel="0" collapsed="false">
      <c r="A28" s="6" t="s">
        <v>46</v>
      </c>
      <c r="B28" s="5" t="s">
        <v>47</v>
      </c>
    </row>
    <row r="29" customFormat="false" ht="26.25" hidden="false" customHeight="true" outlineLevel="0" collapsed="false">
      <c r="A29" s="6" t="s">
        <v>48</v>
      </c>
      <c r="B29" s="11" t="s">
        <v>49</v>
      </c>
    </row>
    <row r="30" customFormat="false" ht="12.75" hidden="false" customHeight="false" outlineLevel="0" collapsed="false">
      <c r="A30" s="6" t="s">
        <v>50</v>
      </c>
      <c r="B30" s="5" t="s">
        <v>51</v>
      </c>
    </row>
    <row r="31" customFormat="false" ht="12.75" hidden="false" customHeight="false" outlineLevel="0" collapsed="false">
      <c r="A31" s="6" t="s">
        <v>52</v>
      </c>
      <c r="B31" s="5" t="s">
        <v>53</v>
      </c>
    </row>
    <row r="32" customFormat="false" ht="12.75" hidden="false" customHeight="false" outlineLevel="0" collapsed="false">
      <c r="A32" s="6" t="s">
        <v>54</v>
      </c>
      <c r="B32" s="4" t="s">
        <v>55</v>
      </c>
    </row>
    <row r="33" customFormat="false" ht="12.75" hidden="false" customHeight="false" outlineLevel="0" collapsed="false">
      <c r="A33" s="6" t="s">
        <v>56</v>
      </c>
      <c r="B33" s="4" t="s">
        <v>57</v>
      </c>
    </row>
    <row r="34" customFormat="false" ht="14.25" hidden="false" customHeight="true" outlineLevel="0" collapsed="false">
      <c r="A34" s="6" t="s">
        <v>58</v>
      </c>
      <c r="B34" s="4" t="s">
        <v>59</v>
      </c>
    </row>
    <row r="35" customFormat="false" ht="12.75" hidden="false" customHeight="false" outlineLevel="0" collapsed="false">
      <c r="A35" s="6" t="s">
        <v>60</v>
      </c>
      <c r="B35" s="4" t="s">
        <v>61</v>
      </c>
    </row>
    <row r="36" customFormat="false" ht="12.75" hidden="false" customHeight="false" outlineLevel="0" collapsed="false">
      <c r="A36" s="6" t="s">
        <v>62</v>
      </c>
      <c r="B36" s="4" t="s">
        <v>63</v>
      </c>
    </row>
    <row r="37" customFormat="false" ht="12.75" hidden="false" customHeight="false" outlineLevel="0" collapsed="false">
      <c r="A37" s="6" t="s">
        <v>64</v>
      </c>
      <c r="B37" s="12" t="s">
        <v>65</v>
      </c>
    </row>
    <row r="38" customFormat="false" ht="12.75" hidden="false" customHeight="false" outlineLevel="0" collapsed="false">
      <c r="A38" s="6" t="s">
        <v>66</v>
      </c>
      <c r="B38" s="4" t="s">
        <v>67</v>
      </c>
    </row>
    <row r="39" customFormat="false" ht="26.25" hidden="false" customHeight="true" outlineLevel="0" collapsed="false">
      <c r="A39" s="6" t="s">
        <v>68</v>
      </c>
      <c r="B39" s="13" t="s">
        <v>69</v>
      </c>
    </row>
    <row r="40" customFormat="false" ht="13.5" hidden="false" customHeight="true" outlineLevel="0" collapsed="false">
      <c r="A40" s="6" t="s">
        <v>70</v>
      </c>
      <c r="B40" s="4" t="s">
        <v>71</v>
      </c>
    </row>
    <row r="41" customFormat="false" ht="13.5" hidden="false" customHeight="true" outlineLevel="0" collapsed="false">
      <c r="A41" s="6" t="s">
        <v>72</v>
      </c>
      <c r="B41" s="4" t="s">
        <v>73</v>
      </c>
    </row>
    <row r="42" customFormat="false" ht="13.5" hidden="false" customHeight="true" outlineLevel="0" collapsed="false">
      <c r="A42" s="6" t="s">
        <v>74</v>
      </c>
      <c r="B42" s="4" t="s">
        <v>75</v>
      </c>
    </row>
    <row r="43" customFormat="false" ht="12.75" hidden="false" customHeight="false" outlineLevel="0" collapsed="false">
      <c r="A43" s="3" t="s">
        <v>76</v>
      </c>
      <c r="B43" s="4" t="s">
        <v>77</v>
      </c>
    </row>
    <row r="44" customFormat="false" ht="12.75" hidden="false" customHeight="false" outlineLevel="0" collapsed="false">
      <c r="A44" s="5"/>
    </row>
    <row r="46" customFormat="false" ht="12.75" hidden="false" customHeight="false" outlineLevel="0" collapsed="false">
      <c r="A46" s="10" t="s">
        <v>78</v>
      </c>
      <c r="B46" s="2" t="s">
        <v>1</v>
      </c>
    </row>
    <row r="47" customFormat="false" ht="26.25" hidden="false" customHeight="true" outlineLevel="0" collapsed="false">
      <c r="A47" s="6" t="s">
        <v>79</v>
      </c>
      <c r="B47" s="5" t="s">
        <v>80</v>
      </c>
    </row>
    <row r="48" customFormat="false" ht="12.75" hidden="false" customHeight="false" outlineLevel="0" collapsed="false">
      <c r="A48" s="6" t="s">
        <v>81</v>
      </c>
      <c r="B48" s="5" t="s">
        <v>82</v>
      </c>
    </row>
    <row r="49" customFormat="false" ht="12.75" hidden="false" customHeight="false" outlineLevel="0" collapsed="false">
      <c r="A49" s="3" t="s">
        <v>2</v>
      </c>
      <c r="B49" s="4" t="s">
        <v>28</v>
      </c>
    </row>
    <row r="50" customFormat="false" ht="12.75" hidden="false" customHeight="false" outlineLevel="0" collapsed="false">
      <c r="A50" s="6" t="s">
        <v>83</v>
      </c>
      <c r="B50" s="5" t="s">
        <v>84</v>
      </c>
    </row>
    <row r="51" customFormat="false" ht="12.75" hidden="false" customHeight="false" outlineLevel="0" collapsed="false">
      <c r="A51" s="6" t="s">
        <v>85</v>
      </c>
      <c r="B51" s="5" t="s">
        <v>32</v>
      </c>
    </row>
    <row r="52" customFormat="false" ht="12.75" hidden="false" customHeight="false" outlineLevel="0" collapsed="false">
      <c r="A52" s="6" t="s">
        <v>86</v>
      </c>
      <c r="B52" s="4" t="s">
        <v>87</v>
      </c>
    </row>
    <row r="53" customFormat="false" ht="12.75" hidden="false" customHeight="false" outlineLevel="0" collapsed="false">
      <c r="A53" s="6" t="s">
        <v>88</v>
      </c>
      <c r="B53" s="4" t="s">
        <v>38</v>
      </c>
    </row>
    <row r="54" customFormat="false" ht="12.75" hidden="false" customHeight="false" outlineLevel="0" collapsed="false">
      <c r="A54" s="6" t="s">
        <v>89</v>
      </c>
      <c r="B54" s="4" t="s">
        <v>38</v>
      </c>
    </row>
    <row r="55" customFormat="false" ht="12.75" hidden="false" customHeight="false" outlineLevel="0" collapsed="false">
      <c r="A55" s="6" t="s">
        <v>90</v>
      </c>
      <c r="B55" s="5" t="s">
        <v>91</v>
      </c>
    </row>
    <row r="56" customFormat="false" ht="12.75" hidden="false" customHeight="false" outlineLevel="0" collapsed="false">
      <c r="A56" s="6" t="s">
        <v>92</v>
      </c>
      <c r="B56" s="5" t="s">
        <v>93</v>
      </c>
    </row>
    <row r="57" customFormat="false" ht="12.75" hidden="false" customHeight="false" outlineLevel="0" collapsed="false">
      <c r="A57" s="6" t="s">
        <v>40</v>
      </c>
      <c r="B57" s="5" t="s">
        <v>94</v>
      </c>
    </row>
    <row r="58" customFormat="false" ht="12.75" hidden="false" customHeight="false" outlineLevel="0" collapsed="false">
      <c r="A58" s="6" t="s">
        <v>42</v>
      </c>
      <c r="B58" s="5" t="s">
        <v>95</v>
      </c>
    </row>
    <row r="59" customFormat="false" ht="12.75" hidden="false" customHeight="false" outlineLevel="0" collapsed="false">
      <c r="A59" s="6" t="s">
        <v>44</v>
      </c>
      <c r="B59" s="5" t="s">
        <v>96</v>
      </c>
    </row>
    <row r="60" customFormat="false" ht="12.75" hidden="false" customHeight="false" outlineLevel="0" collapsed="false">
      <c r="A60" s="6" t="s">
        <v>97</v>
      </c>
      <c r="B60" s="5" t="s">
        <v>98</v>
      </c>
    </row>
    <row r="61" customFormat="false" ht="26.25" hidden="false" customHeight="true" outlineLevel="0" collapsed="false">
      <c r="A61" s="6" t="s">
        <v>48</v>
      </c>
      <c r="B61" s="11" t="s">
        <v>99</v>
      </c>
    </row>
    <row r="62" customFormat="false" ht="26.25" hidden="false" customHeight="true" outlineLevel="0" collapsed="false">
      <c r="A62" s="6" t="s">
        <v>100</v>
      </c>
      <c r="B62" s="5" t="s">
        <v>101</v>
      </c>
    </row>
    <row r="63" customFormat="false" ht="12.75" hidden="false" customHeight="false" outlineLevel="0" collapsed="false">
      <c r="A63" s="6" t="s">
        <v>102</v>
      </c>
      <c r="B63" s="5" t="s">
        <v>103</v>
      </c>
    </row>
    <row r="64" customFormat="false" ht="12.75" hidden="false" customHeight="false" outlineLevel="0" collapsed="false">
      <c r="A64" s="6" t="s">
        <v>104</v>
      </c>
      <c r="B64" s="4" t="s">
        <v>105</v>
      </c>
    </row>
    <row r="65" customFormat="false" ht="26.25" hidden="false" customHeight="true" outlineLevel="0" collapsed="false">
      <c r="A65" s="6" t="s">
        <v>106</v>
      </c>
      <c r="B65" s="14" t="s">
        <v>107</v>
      </c>
    </row>
    <row r="66" customFormat="false" ht="12.75" hidden="false" customHeight="false" outlineLevel="0" collapsed="false">
      <c r="A66" s="6" t="s">
        <v>66</v>
      </c>
      <c r="B66" s="14" t="s">
        <v>108</v>
      </c>
    </row>
    <row r="67" customFormat="false" ht="26.25" hidden="false" customHeight="true" outlineLevel="0" collapsed="false">
      <c r="A67" s="6" t="s">
        <v>68</v>
      </c>
      <c r="B67" s="13" t="s">
        <v>69</v>
      </c>
    </row>
    <row r="68" customFormat="false" ht="26.25" hidden="false" customHeight="true" outlineLevel="0" collapsed="false">
      <c r="A68" s="6" t="s">
        <v>109</v>
      </c>
      <c r="B68" s="4" t="s">
        <v>110</v>
      </c>
    </row>
    <row r="69" customFormat="false" ht="26.25" hidden="false" customHeight="true" outlineLevel="0" collapsed="false">
      <c r="A69" s="6" t="s">
        <v>111</v>
      </c>
      <c r="B69" s="4" t="s">
        <v>112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K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7" activeCellId="0" sqref="C7"/>
    </sheetView>
  </sheetViews>
  <sheetFormatPr defaultColWidth="10.6796875" defaultRowHeight="12.75" zeroHeight="false" outlineLevelRow="0" outlineLevelCol="0"/>
  <cols>
    <col collapsed="false" customWidth="true" hidden="false" outlineLevel="0" max="2" min="2" style="0" width="23.4"/>
    <col collapsed="false" customWidth="true" hidden="false" outlineLevel="0" max="3" min="3" style="0" width="24"/>
    <col collapsed="false" customWidth="true" hidden="false" outlineLevel="0" max="5" min="4" style="0" width="13.6"/>
    <col collapsed="false" customWidth="true" hidden="false" outlineLevel="0" max="6" min="6" style="0" width="20.73"/>
    <col collapsed="false" customWidth="true" hidden="false" outlineLevel="0" max="8" min="7" style="0" width="15.39"/>
    <col collapsed="false" customWidth="true" hidden="false" outlineLevel="0" max="10" min="9" style="0" width="16.26"/>
    <col collapsed="false" customWidth="true" hidden="false" outlineLevel="0" max="11" min="11" style="0" width="15.73"/>
  </cols>
  <sheetData>
    <row r="1" customFormat="false" ht="26.25" hidden="false" customHeight="true" outlineLevel="0" collapsed="false">
      <c r="A1" s="3" t="s">
        <v>2</v>
      </c>
      <c r="B1" s="6" t="s">
        <v>4</v>
      </c>
      <c r="C1" s="8" t="s">
        <v>8</v>
      </c>
      <c r="D1" s="6" t="s">
        <v>10</v>
      </c>
      <c r="E1" s="6" t="s">
        <v>12</v>
      </c>
      <c r="F1" s="6" t="s">
        <v>14</v>
      </c>
      <c r="G1" s="3" t="s">
        <v>16</v>
      </c>
      <c r="H1" s="3" t="s">
        <v>18</v>
      </c>
      <c r="I1" s="8" t="s">
        <v>20</v>
      </c>
      <c r="J1" s="8" t="s">
        <v>22</v>
      </c>
      <c r="K1" s="8" t="s">
        <v>24</v>
      </c>
    </row>
    <row r="2" customFormat="false" ht="12.75" hidden="false" customHeight="false" outlineLevel="0" collapsed="false">
      <c r="B2" s="4"/>
      <c r="C2" s="4"/>
      <c r="D2" s="4"/>
      <c r="E2" s="4"/>
      <c r="F2" s="4"/>
      <c r="G2" s="4"/>
      <c r="H2" s="4"/>
    </row>
    <row r="3" customFormat="false" ht="12.75" hidden="false" customHeight="false" outlineLevel="0" collapsed="false">
      <c r="B3" s="4"/>
      <c r="C3" s="4"/>
      <c r="D3" s="4"/>
      <c r="E3" s="4"/>
      <c r="F3" s="4"/>
      <c r="G3" s="4"/>
      <c r="H3" s="4"/>
    </row>
    <row r="4" customFormat="false" ht="12.75" hidden="false" customHeight="false" outlineLevel="0" collapsed="false">
      <c r="B4" s="4"/>
      <c r="C4" s="4"/>
      <c r="D4" s="4"/>
      <c r="E4" s="4"/>
      <c r="F4" s="4"/>
      <c r="G4" s="4"/>
      <c r="H4" s="4"/>
    </row>
    <row r="5" customFormat="false" ht="12.75" hidden="false" customHeight="false" outlineLevel="0" collapsed="false">
      <c r="B5" s="9"/>
      <c r="C5" s="9"/>
      <c r="D5" s="9"/>
      <c r="E5" s="9"/>
      <c r="F5" s="9"/>
      <c r="G5" s="9"/>
      <c r="H5" s="9"/>
    </row>
    <row r="6" customFormat="false" ht="12.75" hidden="false" customHeight="false" outlineLevel="0" collapsed="false">
      <c r="B6" s="9"/>
      <c r="C6" s="9"/>
      <c r="D6" s="9"/>
      <c r="E6" s="9"/>
      <c r="F6" s="9"/>
      <c r="G6" s="9"/>
      <c r="H6" s="9"/>
    </row>
    <row r="7" customFormat="false" ht="12.75" hidden="false" customHeight="false" outlineLevel="0" collapsed="false">
      <c r="B7" s="9"/>
      <c r="C7" s="9"/>
      <c r="D7" s="9"/>
      <c r="E7" s="9"/>
      <c r="F7" s="9"/>
      <c r="G7" s="9"/>
      <c r="H7" s="9"/>
    </row>
    <row r="8" customFormat="false" ht="12.75" hidden="false" customHeight="false" outlineLevel="0" collapsed="false">
      <c r="B8" s="9"/>
      <c r="C8" s="9"/>
      <c r="D8" s="9"/>
      <c r="E8" s="9"/>
      <c r="F8" s="9"/>
      <c r="G8" s="9"/>
      <c r="H8" s="9"/>
    </row>
    <row r="9" customFormat="false" ht="12.75" hidden="false" customHeight="false" outlineLevel="0" collapsed="false">
      <c r="B9" s="9"/>
      <c r="C9" s="9"/>
      <c r="D9" s="9"/>
      <c r="E9" s="9"/>
      <c r="F9" s="9"/>
      <c r="G9" s="9"/>
      <c r="H9" s="9"/>
    </row>
    <row r="10" customFormat="false" ht="12.75" hidden="false" customHeight="false" outlineLevel="0" collapsed="false">
      <c r="B10" s="9"/>
      <c r="C10" s="9"/>
      <c r="D10" s="9"/>
      <c r="E10" s="9"/>
      <c r="F10" s="9"/>
      <c r="G10" s="9"/>
      <c r="H10" s="9"/>
    </row>
    <row r="11" customFormat="false" ht="12.75" hidden="false" customHeight="false" outlineLevel="0" collapsed="false">
      <c r="B11" s="9"/>
      <c r="C11" s="9"/>
      <c r="D11" s="9"/>
      <c r="E11" s="9"/>
      <c r="F11" s="9"/>
      <c r="G11" s="9"/>
      <c r="H11" s="9"/>
    </row>
    <row r="12" customFormat="false" ht="12.75" hidden="false" customHeight="false" outlineLevel="0" collapsed="false">
      <c r="B12" s="9"/>
      <c r="C12" s="9"/>
      <c r="D12" s="9"/>
      <c r="E12" s="9"/>
      <c r="F12" s="9"/>
      <c r="G12" s="9"/>
      <c r="H12" s="9"/>
    </row>
    <row r="13" customFormat="false" ht="12.75" hidden="false" customHeight="false" outlineLevel="0" collapsed="false">
      <c r="B13" s="9"/>
      <c r="C13" s="9"/>
      <c r="D13" s="9"/>
      <c r="E13" s="9"/>
      <c r="F13" s="9"/>
      <c r="G13" s="9"/>
      <c r="H13" s="9"/>
    </row>
    <row r="14" customFormat="false" ht="12.75" hidden="false" customHeight="false" outlineLevel="0" collapsed="false">
      <c r="B14" s="9"/>
      <c r="C14" s="9"/>
      <c r="D14" s="9"/>
      <c r="E14" s="9"/>
      <c r="F14" s="9"/>
      <c r="G14" s="9"/>
      <c r="H14" s="9"/>
    </row>
    <row r="15" customFormat="false" ht="12.75" hidden="false" customHeight="false" outlineLevel="0" collapsed="false">
      <c r="B15" s="9"/>
      <c r="C15" s="9"/>
      <c r="D15" s="9"/>
      <c r="E15" s="9"/>
      <c r="F15" s="9"/>
      <c r="G15" s="9"/>
      <c r="H15" s="9"/>
    </row>
    <row r="16" customFormat="false" ht="12.75" hidden="false" customHeight="false" outlineLevel="0" collapsed="false">
      <c r="B16" s="9"/>
      <c r="C16" s="9"/>
      <c r="D16" s="9"/>
      <c r="E16" s="9"/>
      <c r="F16" s="9"/>
      <c r="G16" s="9"/>
      <c r="H16" s="9"/>
    </row>
    <row r="17" customFormat="false" ht="12.75" hidden="false" customHeight="false" outlineLevel="0" collapsed="false">
      <c r="B17" s="9"/>
      <c r="C17" s="9"/>
      <c r="D17" s="9"/>
      <c r="E17" s="9"/>
      <c r="F17" s="9"/>
      <c r="G17" s="9"/>
      <c r="H17" s="9"/>
    </row>
    <row r="18" customFormat="false" ht="12.75" hidden="false" customHeight="false" outlineLevel="0" collapsed="false">
      <c r="B18" s="9"/>
      <c r="C18" s="9"/>
      <c r="D18" s="9"/>
      <c r="E18" s="9"/>
      <c r="F18" s="9"/>
      <c r="G18" s="9"/>
      <c r="H18" s="9"/>
    </row>
    <row r="19" customFormat="false" ht="12.75" hidden="false" customHeight="false" outlineLevel="0" collapsed="false">
      <c r="B19" s="9"/>
      <c r="C19" s="9"/>
      <c r="D19" s="9"/>
      <c r="E19" s="9"/>
      <c r="F19" s="9"/>
      <c r="G19" s="9"/>
      <c r="H19" s="9"/>
    </row>
    <row r="20" customFormat="false" ht="12.75" hidden="false" customHeight="false" outlineLevel="0" collapsed="false">
      <c r="B20" s="9"/>
      <c r="C20" s="9"/>
      <c r="D20" s="9"/>
      <c r="E20" s="9"/>
      <c r="F20" s="9"/>
      <c r="G20" s="9"/>
      <c r="H20" s="9"/>
    </row>
    <row r="21" customFormat="false" ht="12.75" hidden="false" customHeight="false" outlineLevel="0" collapsed="false">
      <c r="B21" s="9"/>
      <c r="C21" s="9"/>
      <c r="D21" s="9"/>
      <c r="E21" s="9"/>
      <c r="F21" s="9"/>
      <c r="G21" s="9"/>
      <c r="H21" s="9"/>
    </row>
    <row r="22" customFormat="false" ht="12.75" hidden="false" customHeight="false" outlineLevel="0" collapsed="false">
      <c r="B22" s="9"/>
      <c r="C22" s="9"/>
      <c r="D22" s="9"/>
      <c r="E22" s="9"/>
      <c r="F22" s="9"/>
      <c r="G22" s="9"/>
      <c r="H22" s="9"/>
    </row>
    <row r="23" customFormat="false" ht="12.75" hidden="false" customHeight="false" outlineLevel="0" collapsed="false">
      <c r="B23" s="9"/>
      <c r="C23" s="9"/>
      <c r="D23" s="9"/>
      <c r="E23" s="9"/>
      <c r="F23" s="9"/>
      <c r="G23" s="9"/>
      <c r="H23" s="9"/>
    </row>
    <row r="24" customFormat="false" ht="12.75" hidden="false" customHeight="false" outlineLevel="0" collapsed="false">
      <c r="B24" s="9"/>
      <c r="C24" s="9"/>
      <c r="D24" s="9"/>
      <c r="E24" s="9"/>
      <c r="F24" s="9"/>
      <c r="G24" s="9"/>
      <c r="H24" s="9"/>
    </row>
    <row r="25" customFormat="false" ht="12.75" hidden="false" customHeight="false" outlineLevel="0" collapsed="false">
      <c r="B25" s="9"/>
      <c r="C25" s="9"/>
      <c r="D25" s="9"/>
      <c r="E25" s="9"/>
      <c r="F25" s="9"/>
      <c r="G25" s="9"/>
      <c r="H25" s="9"/>
    </row>
  </sheetData>
  <dataValidations count="1">
    <dataValidation allowBlank="true" errorStyle="stop" operator="between" showDropDown="false" showErrorMessage="true" showInputMessage="true" sqref="H2:H25" type="list">
      <formula1>#ref!</formula1>
      <formula2>0</formula2>
    </dataValidation>
  </dataValidation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AMD31"/>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S17" activeCellId="0" sqref="S17"/>
    </sheetView>
  </sheetViews>
  <sheetFormatPr defaultColWidth="10.6796875" defaultRowHeight="12.75" zeroHeight="false" outlineLevelRow="0" outlineLevelCol="0"/>
  <cols>
    <col collapsed="false" customWidth="true" hidden="false" outlineLevel="0" max="2" min="2" style="0" width="10"/>
    <col collapsed="false" customWidth="true" hidden="false" outlineLevel="0" max="9" min="3" style="0" width="12.26"/>
    <col collapsed="false" customWidth="true" hidden="false" outlineLevel="0" max="11" min="11" style="0" width="15"/>
    <col collapsed="false" customWidth="true" hidden="false" outlineLevel="0" max="13" min="13" style="0" width="19.86"/>
    <col collapsed="false" customWidth="true" hidden="false" outlineLevel="0" max="15" min="15" style="0" width="11.86"/>
    <col collapsed="false" customWidth="true" hidden="false" outlineLevel="0" max="16" min="16" style="0" width="12.14"/>
    <col collapsed="false" customWidth="true" hidden="false" outlineLevel="0" max="17" min="17" style="0" width="18.26"/>
    <col collapsed="false" customWidth="true" hidden="false" outlineLevel="0" max="18" min="18" style="0" width="15.39"/>
    <col collapsed="false" customWidth="true" hidden="false" outlineLevel="0" max="19" min="19" style="0" width="24"/>
    <col collapsed="false" customWidth="true" hidden="false" outlineLevel="0" max="20" min="20" style="0" width="14.86"/>
    <col collapsed="false" customWidth="true" hidden="false" outlineLevel="0" max="21" min="21" style="0" width="14.14"/>
    <col collapsed="false" customWidth="true" hidden="false" outlineLevel="0" max="22" min="22" style="0" width="14.6"/>
    <col collapsed="false" customWidth="true" hidden="false" outlineLevel="0" max="1018" min="1018" style="0" width="11.59"/>
  </cols>
  <sheetData>
    <row r="1" customFormat="false" ht="78.75" hidden="false" customHeight="true" outlineLevel="0" collapsed="false">
      <c r="A1" s="6" t="s">
        <v>26</v>
      </c>
      <c r="B1" s="6" t="s">
        <v>2</v>
      </c>
      <c r="C1" s="6" t="s">
        <v>29</v>
      </c>
      <c r="D1" s="6" t="s">
        <v>31</v>
      </c>
      <c r="E1" s="6" t="s">
        <v>33</v>
      </c>
      <c r="F1" s="6" t="s">
        <v>35</v>
      </c>
      <c r="G1" s="6" t="s">
        <v>113</v>
      </c>
      <c r="H1" s="6" t="s">
        <v>39</v>
      </c>
      <c r="I1" s="6" t="s">
        <v>40</v>
      </c>
      <c r="J1" s="6" t="s">
        <v>42</v>
      </c>
      <c r="K1" s="3" t="s">
        <v>44</v>
      </c>
      <c r="L1" s="3" t="s">
        <v>46</v>
      </c>
      <c r="M1" s="3" t="s">
        <v>48</v>
      </c>
      <c r="N1" s="3" t="s">
        <v>50</v>
      </c>
      <c r="O1" s="3" t="s">
        <v>52</v>
      </c>
      <c r="P1" s="3" t="s">
        <v>54</v>
      </c>
      <c r="Q1" s="3" t="s">
        <v>56</v>
      </c>
      <c r="R1" s="3" t="s">
        <v>58</v>
      </c>
      <c r="S1" s="3" t="s">
        <v>60</v>
      </c>
      <c r="T1" s="3" t="s">
        <v>62</v>
      </c>
      <c r="U1" s="6" t="s">
        <v>64</v>
      </c>
      <c r="V1" s="6" t="s">
        <v>66</v>
      </c>
      <c r="W1" s="6" t="s">
        <v>68</v>
      </c>
      <c r="X1" s="6" t="s">
        <v>70</v>
      </c>
      <c r="Y1" s="6" t="s">
        <v>72</v>
      </c>
      <c r="Z1" s="6" t="s">
        <v>74</v>
      </c>
      <c r="AA1" s="3" t="s">
        <v>76</v>
      </c>
      <c r="AMD1" s="9"/>
    </row>
    <row r="2" customFormat="false" ht="12.75" hidden="false" customHeight="false" outlineLevel="0" collapsed="false">
      <c r="B2" s="4"/>
      <c r="C2" s="4"/>
      <c r="D2" s="4"/>
      <c r="E2" s="4"/>
      <c r="F2" s="4"/>
      <c r="G2" s="4"/>
      <c r="H2" s="4"/>
      <c r="I2" s="4"/>
      <c r="J2" s="4"/>
      <c r="L2" s="4"/>
      <c r="M2" s="15"/>
      <c r="N2" s="4"/>
      <c r="O2" s="4"/>
      <c r="P2" s="4"/>
      <c r="R2" s="4"/>
      <c r="S2" s="4"/>
      <c r="U2" s="4"/>
      <c r="V2" s="4"/>
      <c r="W2" s="4"/>
      <c r="X2" s="4"/>
    </row>
    <row r="3" customFormat="false" ht="12.75" hidden="false" customHeight="false" outlineLevel="0" collapsed="false">
      <c r="B3" s="4"/>
      <c r="C3" s="4"/>
      <c r="D3" s="4"/>
      <c r="E3" s="4"/>
      <c r="F3" s="4"/>
      <c r="G3" s="4"/>
      <c r="H3" s="4"/>
      <c r="I3" s="4"/>
      <c r="J3" s="4"/>
      <c r="K3" s="4"/>
    </row>
    <row r="4" customFormat="false" ht="12.75" hidden="false" customHeight="false" outlineLevel="0" collapsed="false">
      <c r="B4" s="4"/>
      <c r="C4" s="4"/>
      <c r="D4" s="4"/>
      <c r="E4" s="4"/>
      <c r="F4" s="4"/>
      <c r="G4" s="4"/>
      <c r="H4" s="4"/>
      <c r="I4" s="4"/>
      <c r="J4" s="4"/>
      <c r="K4" s="4"/>
    </row>
    <row r="5" customFormat="false" ht="12.75" hidden="false" customHeight="false" outlineLevel="0" collapsed="false">
      <c r="B5" s="4"/>
      <c r="C5" s="4"/>
      <c r="D5" s="4"/>
      <c r="E5" s="4"/>
      <c r="F5" s="4"/>
      <c r="G5" s="4"/>
      <c r="H5" s="4"/>
      <c r="I5" s="4"/>
      <c r="J5" s="4"/>
      <c r="K5" s="4"/>
    </row>
    <row r="6" customFormat="false" ht="12.75" hidden="false" customHeight="false" outlineLevel="0" collapsed="false">
      <c r="B6" s="4"/>
      <c r="C6" s="4"/>
      <c r="D6" s="4"/>
      <c r="E6" s="4"/>
      <c r="F6" s="4"/>
      <c r="G6" s="4"/>
      <c r="H6" s="4"/>
      <c r="I6" s="4"/>
      <c r="J6" s="4"/>
      <c r="K6" s="4"/>
      <c r="O6" s="4"/>
    </row>
    <row r="7" customFormat="false" ht="12.75" hidden="false" customHeight="false" outlineLevel="0" collapsed="false">
      <c r="B7" s="4"/>
      <c r="C7" s="4"/>
      <c r="D7" s="4"/>
      <c r="E7" s="4"/>
      <c r="F7" s="4"/>
      <c r="G7" s="4"/>
      <c r="H7" s="4"/>
      <c r="I7" s="4"/>
      <c r="J7" s="4"/>
      <c r="O7" s="4"/>
    </row>
    <row r="8" customFormat="false" ht="12.75" hidden="false" customHeight="false" outlineLevel="0" collapsed="false">
      <c r="B8" s="4"/>
      <c r="C8" s="4"/>
      <c r="D8" s="4"/>
      <c r="E8" s="4"/>
      <c r="F8" s="4"/>
      <c r="G8" s="4"/>
      <c r="H8" s="4"/>
      <c r="I8" s="4"/>
      <c r="J8" s="4"/>
      <c r="O8" s="4"/>
    </row>
    <row r="9" customFormat="false" ht="12.75" hidden="false" customHeight="false" outlineLevel="0" collapsed="false">
      <c r="B9" s="4"/>
      <c r="C9" s="4"/>
      <c r="D9" s="4"/>
      <c r="E9" s="4"/>
      <c r="F9" s="4"/>
      <c r="G9" s="4"/>
      <c r="H9" s="4"/>
      <c r="I9" s="4"/>
      <c r="J9" s="4"/>
      <c r="O9" s="4"/>
    </row>
    <row r="10" customFormat="false" ht="12.75" hidden="false" customHeight="false" outlineLevel="0" collapsed="false">
      <c r="B10" s="4"/>
      <c r="C10" s="4"/>
      <c r="D10" s="4"/>
      <c r="E10" s="4"/>
      <c r="F10" s="4"/>
      <c r="G10" s="4"/>
      <c r="H10" s="4"/>
      <c r="I10" s="4"/>
      <c r="J10" s="4"/>
      <c r="O10" s="4"/>
    </row>
    <row r="11" customFormat="false" ht="12.75" hidden="false" customHeight="false" outlineLevel="0" collapsed="false">
      <c r="B11" s="4"/>
      <c r="C11" s="4"/>
      <c r="D11" s="4"/>
      <c r="E11" s="4"/>
      <c r="F11" s="4"/>
      <c r="G11" s="4"/>
      <c r="H11" s="4"/>
      <c r="I11" s="4"/>
      <c r="J11" s="4"/>
      <c r="O11" s="4"/>
    </row>
    <row r="12" customFormat="false" ht="12.75" hidden="false" customHeight="false" outlineLevel="0" collapsed="false">
      <c r="B12" s="4"/>
      <c r="C12" s="4"/>
      <c r="D12" s="4"/>
      <c r="E12" s="4"/>
      <c r="F12" s="4"/>
      <c r="G12" s="4"/>
      <c r="H12" s="4"/>
      <c r="I12" s="4"/>
      <c r="J12" s="4"/>
      <c r="O12" s="4"/>
    </row>
    <row r="13" customFormat="false" ht="12.75" hidden="false" customHeight="false" outlineLevel="0" collapsed="false">
      <c r="B13" s="4"/>
      <c r="C13" s="4"/>
      <c r="D13" s="4"/>
      <c r="E13" s="4"/>
      <c r="F13" s="4"/>
      <c r="G13" s="4"/>
      <c r="H13" s="4"/>
      <c r="I13" s="4"/>
      <c r="J13" s="4"/>
      <c r="O13" s="4"/>
    </row>
    <row r="14" customFormat="false" ht="12.75" hidden="false" customHeight="false" outlineLevel="0" collapsed="false">
      <c r="B14" s="4"/>
      <c r="C14" s="4"/>
      <c r="D14" s="4"/>
      <c r="E14" s="4"/>
      <c r="F14" s="4"/>
      <c r="G14" s="4"/>
      <c r="H14" s="4"/>
      <c r="I14" s="4"/>
      <c r="J14" s="4"/>
      <c r="O14" s="4"/>
    </row>
    <row r="15" customFormat="false" ht="12.75" hidden="false" customHeight="false" outlineLevel="0" collapsed="false">
      <c r="B15" s="4"/>
      <c r="C15" s="4"/>
      <c r="D15" s="4"/>
      <c r="E15" s="4"/>
      <c r="F15" s="4"/>
      <c r="G15" s="4"/>
      <c r="H15" s="4"/>
      <c r="I15" s="4"/>
      <c r="J15" s="4"/>
      <c r="O15" s="4"/>
    </row>
    <row r="16" customFormat="false" ht="12.75" hidden="false" customHeight="false" outlineLevel="0" collapsed="false">
      <c r="B16" s="4"/>
      <c r="C16" s="4"/>
      <c r="D16" s="4"/>
      <c r="E16" s="4"/>
      <c r="F16" s="4"/>
      <c r="G16" s="4"/>
      <c r="H16" s="4"/>
      <c r="I16" s="4"/>
      <c r="J16" s="4"/>
      <c r="K16" s="4"/>
      <c r="O16" s="4"/>
    </row>
    <row r="17" customFormat="false" ht="12.75" hidden="false" customHeight="false" outlineLevel="0" collapsed="false">
      <c r="B17" s="4"/>
      <c r="C17" s="4"/>
      <c r="D17" s="4"/>
      <c r="E17" s="4"/>
      <c r="F17" s="4"/>
      <c r="G17" s="4"/>
      <c r="H17" s="4"/>
      <c r="I17" s="4"/>
      <c r="J17" s="4"/>
      <c r="K17" s="4"/>
      <c r="O17" s="4"/>
    </row>
    <row r="18" customFormat="false" ht="12.75" hidden="false" customHeight="false" outlineLevel="0" collapsed="false">
      <c r="B18" s="4"/>
      <c r="C18" s="4"/>
      <c r="D18" s="4"/>
      <c r="E18" s="4"/>
      <c r="F18" s="4"/>
      <c r="G18" s="4"/>
      <c r="H18" s="4"/>
      <c r="I18" s="4"/>
      <c r="J18" s="4"/>
      <c r="K18" s="4"/>
      <c r="O18" s="4"/>
    </row>
    <row r="19" customFormat="false" ht="12.75" hidden="false" customHeight="false" outlineLevel="0" collapsed="false">
      <c r="B19" s="4"/>
      <c r="C19" s="4"/>
      <c r="D19" s="4"/>
      <c r="E19" s="4"/>
      <c r="F19" s="4"/>
      <c r="G19" s="4"/>
      <c r="H19" s="4"/>
      <c r="I19" s="4"/>
      <c r="J19" s="4"/>
      <c r="O19" s="4"/>
    </row>
    <row r="20" customFormat="false" ht="12.75" hidden="false" customHeight="false" outlineLevel="0" collapsed="false">
      <c r="B20" s="4"/>
      <c r="C20" s="4"/>
      <c r="D20" s="4"/>
      <c r="E20" s="4"/>
      <c r="F20" s="4"/>
      <c r="G20" s="4"/>
      <c r="H20" s="4"/>
      <c r="I20" s="4"/>
      <c r="J20" s="4"/>
      <c r="O20" s="4"/>
    </row>
    <row r="21" customFormat="false" ht="12.75" hidden="false" customHeight="false" outlineLevel="0" collapsed="false">
      <c r="B21" s="4"/>
      <c r="C21" s="4"/>
      <c r="D21" s="4"/>
      <c r="E21" s="4"/>
      <c r="F21" s="4"/>
      <c r="G21" s="4"/>
      <c r="H21" s="4"/>
      <c r="I21" s="4"/>
      <c r="J21" s="4"/>
      <c r="O21" s="4"/>
    </row>
    <row r="22" customFormat="false" ht="12.75" hidden="false" customHeight="false" outlineLevel="0" collapsed="false">
      <c r="B22" s="4"/>
      <c r="C22" s="4"/>
      <c r="D22" s="4"/>
      <c r="E22" s="4"/>
      <c r="F22" s="4"/>
      <c r="G22" s="4"/>
      <c r="H22" s="4"/>
      <c r="I22" s="4"/>
      <c r="J22" s="4"/>
      <c r="O22" s="4"/>
    </row>
    <row r="23" customFormat="false" ht="12.75" hidden="false" customHeight="false" outlineLevel="0" collapsed="false">
      <c r="B23" s="4"/>
      <c r="C23" s="4"/>
      <c r="D23" s="4"/>
      <c r="E23" s="4"/>
      <c r="F23" s="4"/>
      <c r="G23" s="4"/>
      <c r="H23" s="4"/>
      <c r="I23" s="4"/>
      <c r="J23" s="4"/>
      <c r="O23" s="4"/>
    </row>
    <row r="24" customFormat="false" ht="12.75" hidden="false" customHeight="false" outlineLevel="0" collapsed="false">
      <c r="B24" s="4"/>
      <c r="C24" s="4"/>
      <c r="D24" s="4"/>
      <c r="E24" s="4"/>
      <c r="F24" s="4"/>
      <c r="G24" s="4"/>
      <c r="H24" s="4"/>
      <c r="I24" s="4"/>
      <c r="J24" s="4"/>
      <c r="O24" s="4"/>
    </row>
    <row r="25" customFormat="false" ht="12.75" hidden="false" customHeight="false" outlineLevel="0" collapsed="false">
      <c r="B25" s="4"/>
      <c r="C25" s="4"/>
      <c r="D25" s="4"/>
      <c r="E25" s="4"/>
      <c r="F25" s="4"/>
      <c r="G25" s="4"/>
      <c r="H25" s="4"/>
      <c r="I25" s="4"/>
      <c r="J25" s="4"/>
      <c r="O25" s="4"/>
    </row>
    <row r="26" customFormat="false" ht="12.75" hidden="false" customHeight="false" outlineLevel="0" collapsed="false">
      <c r="B26" s="4"/>
      <c r="C26" s="4"/>
      <c r="D26" s="4"/>
      <c r="E26" s="4"/>
      <c r="F26" s="4"/>
      <c r="G26" s="4"/>
      <c r="H26" s="4"/>
      <c r="I26" s="4"/>
      <c r="J26" s="4"/>
      <c r="O26" s="4"/>
    </row>
    <row r="27" customFormat="false" ht="12.75" hidden="false" customHeight="false" outlineLevel="0" collapsed="false">
      <c r="B27" s="4"/>
      <c r="C27" s="4"/>
      <c r="D27" s="4"/>
      <c r="E27" s="4"/>
      <c r="F27" s="4"/>
      <c r="G27" s="4"/>
      <c r="H27" s="4"/>
      <c r="I27" s="4"/>
      <c r="J27" s="4"/>
      <c r="O27" s="4"/>
    </row>
    <row r="28" customFormat="false" ht="12.75" hidden="false" customHeight="false" outlineLevel="0" collapsed="false">
      <c r="B28" s="4"/>
      <c r="C28" s="4"/>
      <c r="D28" s="4"/>
      <c r="E28" s="4"/>
      <c r="F28" s="4"/>
      <c r="G28" s="4"/>
      <c r="H28" s="4"/>
      <c r="I28" s="4"/>
      <c r="J28" s="4"/>
      <c r="O28" s="4"/>
    </row>
    <row r="29" customFormat="false" ht="12.75" hidden="false" customHeight="false" outlineLevel="0" collapsed="false">
      <c r="B29" s="4"/>
      <c r="C29" s="4"/>
      <c r="D29" s="4"/>
      <c r="E29" s="4"/>
      <c r="F29" s="4"/>
      <c r="G29" s="4"/>
      <c r="H29" s="4"/>
      <c r="I29" s="4"/>
      <c r="J29" s="4"/>
      <c r="K29" s="4"/>
      <c r="O29" s="4"/>
    </row>
    <row r="30" customFormat="false" ht="12.75" hidden="false" customHeight="false" outlineLevel="0" collapsed="false">
      <c r="B30" s="4"/>
      <c r="C30" s="4"/>
      <c r="D30" s="4"/>
      <c r="E30" s="4"/>
      <c r="F30" s="4"/>
      <c r="G30" s="4"/>
      <c r="H30" s="4"/>
      <c r="I30" s="4"/>
      <c r="J30" s="4"/>
      <c r="O30" s="4"/>
    </row>
    <row r="31" customFormat="false" ht="12.75" hidden="false" customHeight="false" outlineLevel="0" collapsed="false">
      <c r="B31" s="4"/>
      <c r="C31" s="4"/>
      <c r="D31" s="4"/>
      <c r="E31" s="4"/>
      <c r="F31" s="4"/>
      <c r="G31" s="4"/>
      <c r="H31" s="4"/>
      <c r="I31" s="4"/>
      <c r="J31" s="4"/>
      <c r="O31" s="4"/>
    </row>
  </sheetData>
  <dataValidations count="2">
    <dataValidation allowBlank="true" errorStyle="stop" operator="between" showDropDown="false" showErrorMessage="true" showInputMessage="true" sqref="J2:J1001" type="whole">
      <formula1>1800</formula1>
      <formula2>2019</formula2>
    </dataValidation>
    <dataValidation allowBlank="true" errorStyle="stop" operator="between" showDropDown="false" showErrorMessage="true" showInputMessage="true" sqref="B2:B1001" type="list">
      <formula1>#ref!</formula1>
      <formula2>0</formula2>
    </dataValidation>
  </dataValidation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X3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P7" activeCellId="0" sqref="P7"/>
    </sheetView>
  </sheetViews>
  <sheetFormatPr defaultColWidth="10.6796875" defaultRowHeight="12.75" zeroHeight="false" outlineLevelRow="0" outlineLevelCol="0"/>
  <cols>
    <col collapsed="false" customWidth="true" hidden="false" outlineLevel="0" max="3" min="3" style="0" width="11.86"/>
    <col collapsed="false" customWidth="true" hidden="false" outlineLevel="0" max="4" min="4" style="0" width="12.14"/>
    <col collapsed="false" customWidth="true" hidden="false" outlineLevel="0" max="5" min="5" style="0" width="18.26"/>
    <col collapsed="false" customWidth="true" hidden="false" outlineLevel="0" max="6" min="6" style="0" width="15.39"/>
    <col collapsed="false" customWidth="true" hidden="false" outlineLevel="0" max="7" min="7" style="0" width="24"/>
    <col collapsed="false" customWidth="true" hidden="false" outlineLevel="0" max="8" min="8" style="0" width="14.86"/>
    <col collapsed="false" customWidth="true" hidden="false" outlineLevel="0" max="9" min="9" style="0" width="19.86"/>
    <col collapsed="false" customWidth="true" hidden="false" outlineLevel="0" max="10" min="10" style="0" width="14.86"/>
    <col collapsed="false" customWidth="true" hidden="false" outlineLevel="0" max="11" min="11" style="0" width="14.14"/>
    <col collapsed="false" customWidth="true" hidden="false" outlineLevel="0" max="12" min="12" style="0" width="14.6"/>
    <col collapsed="false" customWidth="true" hidden="false" outlineLevel="0" max="21" min="21" style="0" width="29.73"/>
    <col collapsed="false" customWidth="true" hidden="false" outlineLevel="0" max="1019" min="1019" style="0" width="11.59"/>
  </cols>
  <sheetData>
    <row r="1" customFormat="false" ht="78.75" hidden="false" customHeight="true" outlineLevel="0" collapsed="false">
      <c r="A1" s="8" t="s">
        <v>2</v>
      </c>
      <c r="B1" s="6" t="s">
        <v>29</v>
      </c>
      <c r="C1" s="6" t="s">
        <v>31</v>
      </c>
      <c r="D1" s="3" t="s">
        <v>33</v>
      </c>
      <c r="E1" s="3" t="s">
        <v>40</v>
      </c>
      <c r="F1" s="3" t="s">
        <v>42</v>
      </c>
      <c r="G1" s="3" t="s">
        <v>44</v>
      </c>
      <c r="H1" s="3" t="s">
        <v>46</v>
      </c>
      <c r="I1" s="3" t="s">
        <v>48</v>
      </c>
      <c r="J1" s="3" t="s">
        <v>50</v>
      </c>
      <c r="K1" s="3" t="s">
        <v>52</v>
      </c>
      <c r="L1" s="3" t="s">
        <v>54</v>
      </c>
      <c r="M1" s="3" t="s">
        <v>56</v>
      </c>
      <c r="N1" s="3" t="s">
        <v>58</v>
      </c>
      <c r="O1" s="3" t="s">
        <v>60</v>
      </c>
      <c r="P1" s="3" t="s">
        <v>62</v>
      </c>
      <c r="Q1" s="3" t="s">
        <v>64</v>
      </c>
      <c r="R1" s="3" t="s">
        <v>66</v>
      </c>
      <c r="S1" s="3" t="s">
        <v>68</v>
      </c>
      <c r="T1" s="3" t="s">
        <v>70</v>
      </c>
      <c r="U1" s="3" t="s">
        <v>72</v>
      </c>
      <c r="V1" s="6" t="s">
        <v>74</v>
      </c>
      <c r="W1" s="3" t="s">
        <v>76</v>
      </c>
      <c r="X1" s="8" t="s">
        <v>35</v>
      </c>
    </row>
    <row r="2" customFormat="false" ht="12.75" hidden="false" customHeight="false" outlineLevel="0" collapsed="false">
      <c r="A2" s="16"/>
      <c r="B2" s="17"/>
      <c r="C2" s="18"/>
      <c r="D2" s="18"/>
      <c r="E2" s="19"/>
      <c r="F2" s="18"/>
      <c r="G2" s="18"/>
      <c r="H2" s="19"/>
      <c r="I2" s="19"/>
      <c r="J2" s="19"/>
      <c r="K2" s="18"/>
      <c r="L2" s="18"/>
      <c r="M2" s="18"/>
      <c r="N2" s="18"/>
      <c r="O2" s="18"/>
      <c r="P2" s="18"/>
      <c r="Q2" s="18"/>
      <c r="R2" s="20"/>
      <c r="S2" s="4"/>
    </row>
    <row r="3" customFormat="false" ht="12.75" hidden="false" customHeight="false" outlineLevel="0" collapsed="false">
      <c r="C3" s="21"/>
      <c r="D3" s="21"/>
      <c r="E3" s="21"/>
      <c r="F3" s="21"/>
      <c r="G3" s="21"/>
      <c r="H3" s="21"/>
      <c r="I3" s="21"/>
      <c r="J3" s="21"/>
      <c r="K3" s="21"/>
      <c r="L3" s="21"/>
      <c r="M3" s="21"/>
      <c r="N3" s="21"/>
      <c r="O3" s="21"/>
      <c r="P3" s="21"/>
      <c r="Q3" s="21"/>
      <c r="R3" s="21"/>
    </row>
    <row r="6" customFormat="false" ht="12.75" hidden="false" customHeight="false" outlineLevel="0" collapsed="false">
      <c r="C6" s="4"/>
    </row>
    <row r="7" customFormat="false" ht="12.75" hidden="false" customHeight="false" outlineLevel="0" collapsed="false">
      <c r="C7" s="4"/>
    </row>
    <row r="8" customFormat="false" ht="12.75" hidden="false" customHeight="false" outlineLevel="0" collapsed="false">
      <c r="C8" s="4"/>
    </row>
    <row r="9" customFormat="false" ht="12.75" hidden="false" customHeight="false" outlineLevel="0" collapsed="false">
      <c r="C9" s="4"/>
    </row>
    <row r="10" customFormat="false" ht="12.75" hidden="false" customHeight="false" outlineLevel="0" collapsed="false">
      <c r="C10" s="4"/>
    </row>
    <row r="11" customFormat="false" ht="12.75" hidden="false" customHeight="false" outlineLevel="0" collapsed="false">
      <c r="C11" s="4"/>
    </row>
    <row r="12" customFormat="false" ht="12.75" hidden="false" customHeight="false" outlineLevel="0" collapsed="false">
      <c r="C12" s="4"/>
    </row>
    <row r="13" customFormat="false" ht="12.75" hidden="false" customHeight="false" outlineLevel="0" collapsed="false">
      <c r="C13" s="4"/>
    </row>
    <row r="14" customFormat="false" ht="12.75" hidden="false" customHeight="false" outlineLevel="0" collapsed="false">
      <c r="C14" s="4"/>
    </row>
    <row r="15" customFormat="false" ht="12.75" hidden="false" customHeight="false" outlineLevel="0" collapsed="false">
      <c r="C15" s="4"/>
    </row>
    <row r="16" customFormat="false" ht="12.75" hidden="false" customHeight="false" outlineLevel="0" collapsed="false">
      <c r="C16" s="4"/>
    </row>
    <row r="17" customFormat="false" ht="12.75" hidden="false" customHeight="false" outlineLevel="0" collapsed="false">
      <c r="C17" s="4"/>
    </row>
    <row r="18" customFormat="false" ht="12.75" hidden="false" customHeight="false" outlineLevel="0" collapsed="false">
      <c r="C18" s="4"/>
    </row>
    <row r="19" customFormat="false" ht="12.75" hidden="false" customHeight="false" outlineLevel="0" collapsed="false">
      <c r="C19" s="4"/>
    </row>
    <row r="20" customFormat="false" ht="12.75" hidden="false" customHeight="false" outlineLevel="0" collapsed="false">
      <c r="C20" s="4"/>
    </row>
    <row r="21" customFormat="false" ht="12.75" hidden="false" customHeight="false" outlineLevel="0" collapsed="false">
      <c r="C21" s="4"/>
    </row>
    <row r="22" customFormat="false" ht="12.75" hidden="false" customHeight="false" outlineLevel="0" collapsed="false">
      <c r="C22" s="4"/>
    </row>
    <row r="23" customFormat="false" ht="12.75" hidden="false" customHeight="false" outlineLevel="0" collapsed="false">
      <c r="C23" s="4"/>
    </row>
    <row r="24" customFormat="false" ht="12.75" hidden="false" customHeight="false" outlineLevel="0" collapsed="false">
      <c r="C24" s="4"/>
    </row>
    <row r="25" customFormat="false" ht="12.75" hidden="false" customHeight="false" outlineLevel="0" collapsed="false">
      <c r="C25" s="4"/>
    </row>
    <row r="26" customFormat="false" ht="12.75" hidden="false" customHeight="false" outlineLevel="0" collapsed="false">
      <c r="C26" s="4"/>
    </row>
    <row r="27" customFormat="false" ht="12.75" hidden="false" customHeight="false" outlineLevel="0" collapsed="false">
      <c r="C27" s="4"/>
    </row>
    <row r="28" customFormat="false" ht="12.75" hidden="false" customHeight="false" outlineLevel="0" collapsed="false">
      <c r="C28" s="4"/>
    </row>
    <row r="29" customFormat="false" ht="12.75" hidden="false" customHeight="false" outlineLevel="0" collapsed="false">
      <c r="C29" s="4"/>
    </row>
    <row r="30" customFormat="false" ht="12.75" hidden="false" customHeight="false" outlineLevel="0" collapsed="false">
      <c r="C30" s="4"/>
    </row>
    <row r="31" customFormat="false" ht="12.75" hidden="false" customHeight="false" outlineLevel="0" collapsed="false">
      <c r="C31" s="4"/>
    </row>
  </sheetData>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A2"/>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R1" activeCellId="0" sqref="R1"/>
    </sheetView>
  </sheetViews>
  <sheetFormatPr defaultColWidth="10.6796875" defaultRowHeight="12.75" zeroHeight="false" outlineLevelRow="0" outlineLevelCol="0"/>
  <cols>
    <col collapsed="false" customWidth="true" hidden="false" outlineLevel="0" max="2" min="2" style="0" width="8.26"/>
    <col collapsed="false" customWidth="true" hidden="false" outlineLevel="0" max="5" min="5" style="0" width="12.6"/>
    <col collapsed="false" customWidth="true" hidden="false" outlineLevel="0" max="6" min="6" style="0" width="22.6"/>
    <col collapsed="false" customWidth="true" hidden="false" outlineLevel="0" max="8" min="8" style="0" width="12.73"/>
    <col collapsed="false" customWidth="true" hidden="false" outlineLevel="0" max="26" min="26" style="0" width="16.13"/>
    <col collapsed="false" customWidth="true" hidden="false" outlineLevel="0" max="1019" min="1019" style="0" width="11.59"/>
  </cols>
  <sheetData>
    <row r="1" customFormat="false" ht="78.75" hidden="false" customHeight="true" outlineLevel="0" collapsed="false">
      <c r="A1" s="6" t="s">
        <v>26</v>
      </c>
      <c r="B1" s="8" t="s">
        <v>2</v>
      </c>
      <c r="C1" s="6" t="s">
        <v>29</v>
      </c>
      <c r="D1" s="6" t="s">
        <v>31</v>
      </c>
      <c r="E1" s="6" t="s">
        <v>33</v>
      </c>
      <c r="F1" s="6" t="s">
        <v>35</v>
      </c>
      <c r="G1" s="6" t="s">
        <v>113</v>
      </c>
      <c r="H1" s="3" t="s">
        <v>39</v>
      </c>
      <c r="I1" s="3" t="s">
        <v>40</v>
      </c>
      <c r="J1" s="3" t="s">
        <v>42</v>
      </c>
      <c r="K1" s="3" t="s">
        <v>44</v>
      </c>
      <c r="L1" s="3" t="s">
        <v>46</v>
      </c>
      <c r="M1" s="3" t="s">
        <v>48</v>
      </c>
      <c r="N1" s="3" t="s">
        <v>50</v>
      </c>
      <c r="O1" s="3" t="s">
        <v>52</v>
      </c>
      <c r="P1" s="3" t="s">
        <v>54</v>
      </c>
      <c r="Q1" s="3" t="s">
        <v>56</v>
      </c>
      <c r="R1" s="3" t="s">
        <v>58</v>
      </c>
      <c r="S1" s="3" t="s">
        <v>60</v>
      </c>
      <c r="T1" s="6" t="s">
        <v>62</v>
      </c>
      <c r="U1" s="6" t="s">
        <v>64</v>
      </c>
      <c r="V1" s="6" t="s">
        <v>66</v>
      </c>
      <c r="W1" s="6" t="s">
        <v>68</v>
      </c>
      <c r="X1" s="6" t="s">
        <v>70</v>
      </c>
      <c r="Y1" s="6" t="s">
        <v>72</v>
      </c>
      <c r="Z1" s="8" t="s">
        <v>74</v>
      </c>
      <c r="AA1" s="8" t="s">
        <v>76</v>
      </c>
    </row>
    <row r="2" customFormat="false" ht="42" hidden="false" customHeight="true" outlineLevel="0" collapsed="false">
      <c r="C2" s="22"/>
      <c r="D2" s="22"/>
      <c r="E2" s="22"/>
      <c r="W2" s="4"/>
    </row>
  </sheetData>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AA2"/>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T2" activeCellId="0" sqref="T2"/>
    </sheetView>
  </sheetViews>
  <sheetFormatPr defaultColWidth="10.6796875" defaultRowHeight="12.75" zeroHeight="false" outlineLevelRow="0" outlineLevelCol="0"/>
  <cols>
    <col collapsed="false" customWidth="true" hidden="false" outlineLevel="0" max="12" min="7" style="0" width="9.14"/>
    <col collapsed="false" customWidth="true" hidden="false" outlineLevel="0" max="13" min="13" style="0" width="19.86"/>
    <col collapsed="false" customWidth="true" hidden="false" outlineLevel="0" max="15" min="14" style="0" width="9.14"/>
    <col collapsed="false" customWidth="true" hidden="false" outlineLevel="0" max="1019" min="1019" style="0" width="11.59"/>
  </cols>
  <sheetData>
    <row r="1" customFormat="false" ht="78.75" hidden="false" customHeight="true" outlineLevel="0" collapsed="false">
      <c r="A1" s="6" t="s">
        <v>26</v>
      </c>
      <c r="B1" s="8" t="s">
        <v>2</v>
      </c>
      <c r="C1" s="6" t="s">
        <v>29</v>
      </c>
      <c r="D1" s="6" t="s">
        <v>31</v>
      </c>
      <c r="E1" s="6" t="s">
        <v>33</v>
      </c>
      <c r="F1" s="6" t="s">
        <v>35</v>
      </c>
      <c r="G1" s="3" t="s">
        <v>113</v>
      </c>
      <c r="H1" s="3" t="s">
        <v>39</v>
      </c>
      <c r="I1" s="3" t="s">
        <v>40</v>
      </c>
      <c r="J1" s="3" t="s">
        <v>42</v>
      </c>
      <c r="K1" s="3" t="s">
        <v>44</v>
      </c>
      <c r="L1" s="3" t="s">
        <v>46</v>
      </c>
      <c r="M1" s="3" t="s">
        <v>48</v>
      </c>
      <c r="N1" s="3" t="s">
        <v>50</v>
      </c>
      <c r="O1" s="3" t="s">
        <v>52</v>
      </c>
      <c r="P1" s="3" t="s">
        <v>54</v>
      </c>
      <c r="Q1" s="3" t="s">
        <v>56</v>
      </c>
      <c r="R1" s="3" t="s">
        <v>58</v>
      </c>
      <c r="S1" s="3" t="s">
        <v>60</v>
      </c>
      <c r="T1" s="6" t="s">
        <v>62</v>
      </c>
      <c r="U1" s="6" t="s">
        <v>64</v>
      </c>
      <c r="V1" s="6" t="s">
        <v>66</v>
      </c>
      <c r="W1" s="6" t="s">
        <v>68</v>
      </c>
      <c r="X1" s="6" t="s">
        <v>70</v>
      </c>
      <c r="Y1" s="6" t="s">
        <v>72</v>
      </c>
      <c r="Z1" s="8" t="s">
        <v>74</v>
      </c>
      <c r="AA1" s="8" t="s">
        <v>76</v>
      </c>
    </row>
    <row r="2" customFormat="false" ht="12.75" hidden="false" customHeight="false" outlineLevel="0" collapsed="false">
      <c r="M2" s="15"/>
      <c r="W2"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X4"/>
  <sheetViews>
    <sheetView showFormulas="false" showGridLines="true" showRowColHeaders="true" showZeros="true" rightToLeft="false" tabSelected="false" showOutlineSymbols="true" defaultGridColor="true" view="normal" topLeftCell="G1" colorId="64" zoomScale="70" zoomScaleNormal="70" zoomScalePageLayoutView="100" workbookViewId="0">
      <selection pane="topLeft" activeCell="T8" activeCellId="0" sqref="T8"/>
    </sheetView>
  </sheetViews>
  <sheetFormatPr defaultColWidth="10.6796875" defaultRowHeight="12.75" zeroHeight="false" outlineLevelRow="0" outlineLevelCol="0"/>
  <cols>
    <col collapsed="false" customWidth="true" hidden="false" outlineLevel="0" max="3" min="1" style="0" width="22.6"/>
    <col collapsed="false" customWidth="true" hidden="false" outlineLevel="0" max="5" min="4" style="0" width="15.73"/>
    <col collapsed="false" customWidth="true" hidden="false" outlineLevel="0" max="16" min="16" style="0" width="19.86"/>
    <col collapsed="false" customWidth="true" hidden="false" outlineLevel="0" max="1020" min="1020" style="0" width="11.59"/>
  </cols>
  <sheetData>
    <row r="1" customFormat="false" ht="78.75" hidden="false" customHeight="true" outlineLevel="0" collapsed="false">
      <c r="A1" s="6" t="s">
        <v>79</v>
      </c>
      <c r="B1" s="3" t="s">
        <v>81</v>
      </c>
      <c r="C1" s="8" t="s">
        <v>2</v>
      </c>
      <c r="D1" s="6" t="s">
        <v>83</v>
      </c>
      <c r="E1" s="6" t="s">
        <v>114</v>
      </c>
      <c r="F1" s="6" t="s">
        <v>85</v>
      </c>
      <c r="G1" s="6" t="s">
        <v>86</v>
      </c>
      <c r="H1" s="6" t="s">
        <v>88</v>
      </c>
      <c r="I1" s="6" t="s">
        <v>89</v>
      </c>
      <c r="J1" s="6" t="s">
        <v>90</v>
      </c>
      <c r="K1" s="6" t="s">
        <v>92</v>
      </c>
      <c r="L1" s="6" t="s">
        <v>40</v>
      </c>
      <c r="M1" s="6" t="s">
        <v>42</v>
      </c>
      <c r="N1" s="6" t="s">
        <v>44</v>
      </c>
      <c r="O1" s="6" t="s">
        <v>97</v>
      </c>
      <c r="P1" s="3" t="s">
        <v>48</v>
      </c>
      <c r="Q1" s="6" t="s">
        <v>100</v>
      </c>
      <c r="R1" s="6" t="s">
        <v>102</v>
      </c>
      <c r="S1" s="6" t="s">
        <v>104</v>
      </c>
      <c r="T1" s="3" t="s">
        <v>115</v>
      </c>
      <c r="U1" s="6" t="s">
        <v>66</v>
      </c>
      <c r="V1" s="6" t="s">
        <v>68</v>
      </c>
      <c r="W1" s="6" t="s">
        <v>109</v>
      </c>
      <c r="X1" s="6" t="s">
        <v>111</v>
      </c>
    </row>
    <row r="2" customFormat="false" ht="12.75" hidden="false" customHeight="false" outlineLevel="0" collapsed="false">
      <c r="A2" s="4"/>
      <c r="B2" s="4"/>
      <c r="C2" s="4"/>
      <c r="D2" s="4"/>
      <c r="E2" s="4"/>
      <c r="F2" s="4"/>
      <c r="G2" s="4"/>
      <c r="H2" s="4"/>
      <c r="I2" s="4"/>
      <c r="M2" s="4"/>
      <c r="P2" s="15"/>
      <c r="V2" s="4"/>
    </row>
    <row r="3" customFormat="false" ht="12.75" hidden="false" customHeight="false" outlineLevel="0" collapsed="false">
      <c r="A3" s="4"/>
      <c r="B3" s="4"/>
      <c r="C3" s="4"/>
      <c r="D3" s="4"/>
      <c r="E3" s="4"/>
      <c r="F3" s="4"/>
      <c r="G3" s="4"/>
      <c r="H3" s="4"/>
      <c r="I3" s="4"/>
      <c r="M3" s="4"/>
    </row>
    <row r="4" customFormat="false" ht="12.75" hidden="false" customHeight="false" outlineLevel="0" collapsed="false">
      <c r="A4" s="4"/>
      <c r="B4" s="4"/>
      <c r="C4" s="4"/>
      <c r="D4" s="4"/>
      <c r="E4" s="4"/>
      <c r="F4" s="4"/>
      <c r="G4" s="4"/>
      <c r="H4" s="4"/>
      <c r="I4" s="4"/>
      <c r="M4" s="4"/>
    </row>
  </sheetData>
  <printOptions headings="false" gridLines="false" gridLinesSet="true" horizontalCentered="false" verticalCentered="false"/>
  <pageMargins left="0.7875" right="0.7875" top="0.913888888888889" bottom="0.913888888888889" header="0.7875" footer="0.787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U10"/>
  <sheetViews>
    <sheetView showFormulas="false" showGridLines="true" showRowColHeaders="true" showZeros="true" rightToLeft="false" tabSelected="false" showOutlineSymbols="true" defaultGridColor="true" view="normal" topLeftCell="E1" colorId="64" zoomScale="85" zoomScaleNormal="85" zoomScalePageLayoutView="100" workbookViewId="0">
      <selection pane="topLeft" activeCell="P1" activeCellId="0" sqref="P1"/>
    </sheetView>
  </sheetViews>
  <sheetFormatPr defaultColWidth="10.6796875" defaultRowHeight="12.75" zeroHeight="false" outlineLevelRow="0" outlineLevelCol="0"/>
  <cols>
    <col collapsed="false" customWidth="true" hidden="false" outlineLevel="0" max="2" min="2" style="0" width="9.14"/>
    <col collapsed="false" customWidth="true" hidden="false" outlineLevel="0" max="4" min="3" style="0" width="7.59"/>
    <col collapsed="false" customWidth="true" hidden="false" outlineLevel="0" max="14" min="14" style="0" width="19.86"/>
    <col collapsed="false" customWidth="true" hidden="false" outlineLevel="0" max="15" min="15" style="0" width="9.14"/>
    <col collapsed="false" customWidth="true" hidden="false" outlineLevel="0" max="21" min="21" style="0" width="9.14"/>
    <col collapsed="false" customWidth="true" hidden="false" outlineLevel="0" max="1019" min="998" style="0" width="9.14"/>
  </cols>
  <sheetData>
    <row r="1" customFormat="false" ht="78.75" hidden="false" customHeight="true" outlineLevel="0" collapsed="false">
      <c r="A1" s="3" t="s">
        <v>81</v>
      </c>
      <c r="B1" s="8" t="s">
        <v>2</v>
      </c>
      <c r="C1" s="3" t="s">
        <v>83</v>
      </c>
      <c r="D1" s="3" t="s">
        <v>114</v>
      </c>
      <c r="E1" s="3" t="s">
        <v>85</v>
      </c>
      <c r="F1" s="3" t="s">
        <v>90</v>
      </c>
      <c r="G1" s="3" t="s">
        <v>92</v>
      </c>
      <c r="H1" s="3" t="s">
        <v>40</v>
      </c>
      <c r="I1" s="3" t="s">
        <v>42</v>
      </c>
      <c r="J1" s="3" t="s">
        <v>44</v>
      </c>
      <c r="K1" s="3" t="s">
        <v>102</v>
      </c>
      <c r="L1" s="3" t="s">
        <v>104</v>
      </c>
      <c r="M1" s="3" t="s">
        <v>97</v>
      </c>
      <c r="N1" s="3" t="s">
        <v>48</v>
      </c>
      <c r="O1" s="3" t="s">
        <v>100</v>
      </c>
      <c r="P1" s="3" t="s">
        <v>115</v>
      </c>
      <c r="Q1" s="3" t="s">
        <v>66</v>
      </c>
      <c r="R1" s="3" t="s">
        <v>68</v>
      </c>
      <c r="S1" s="3" t="s">
        <v>109</v>
      </c>
      <c r="T1" s="3" t="s">
        <v>111</v>
      </c>
      <c r="U1" s="8" t="s">
        <v>86</v>
      </c>
    </row>
    <row r="2" customFormat="false" ht="12.75" hidden="false" customHeight="false" outlineLevel="0" collapsed="false">
      <c r="N2" s="15"/>
      <c r="R2" s="4"/>
    </row>
    <row r="10" customFormat="false" ht="12" hidden="false" customHeight="true" outlineLevel="0" collapsed="false"/>
  </sheetData>
  <printOptions headings="false" gridLines="false" gridLinesSet="true" horizontalCentered="false" verticalCentered="false"/>
  <pageMargins left="0.7875" right="0.7875" top="0.913888888888889" bottom="0.913888888888889" header="0.7875" footer="0.787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X2"/>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B1" activeCellId="0" sqref="B1"/>
    </sheetView>
  </sheetViews>
  <sheetFormatPr defaultColWidth="10.6796875" defaultRowHeight="12.75" zeroHeight="false" outlineLevelRow="0" outlineLevelCol="0"/>
  <cols>
    <col collapsed="false" customWidth="true" hidden="false" outlineLevel="0" max="17" min="17" style="0" width="19.86"/>
    <col collapsed="false" customWidth="true" hidden="false" outlineLevel="0" max="1020" min="1020" style="0" width="11.59"/>
  </cols>
  <sheetData>
    <row r="1" customFormat="false" ht="78.75" hidden="false" customHeight="true" outlineLevel="0" collapsed="false">
      <c r="A1" s="3" t="s">
        <v>79</v>
      </c>
      <c r="B1" s="3" t="s">
        <v>81</v>
      </c>
      <c r="C1" s="8" t="s">
        <v>2</v>
      </c>
      <c r="D1" s="3" t="s">
        <v>83</v>
      </c>
      <c r="E1" s="3" t="s">
        <v>114</v>
      </c>
      <c r="F1" s="3" t="s">
        <v>85</v>
      </c>
      <c r="G1" s="3" t="s">
        <v>86</v>
      </c>
      <c r="H1" s="3" t="s">
        <v>88</v>
      </c>
      <c r="I1" s="3" t="s">
        <v>89</v>
      </c>
      <c r="J1" s="3" t="s">
        <v>90</v>
      </c>
      <c r="K1" s="3" t="s">
        <v>92</v>
      </c>
      <c r="L1" s="3" t="s">
        <v>40</v>
      </c>
      <c r="M1" s="3" t="s">
        <v>42</v>
      </c>
      <c r="N1" s="3" t="s">
        <v>44</v>
      </c>
      <c r="O1" s="3" t="s">
        <v>97</v>
      </c>
      <c r="P1" s="3" t="s">
        <v>100</v>
      </c>
      <c r="Q1" s="3" t="s">
        <v>48</v>
      </c>
      <c r="R1" s="3" t="s">
        <v>102</v>
      </c>
      <c r="S1" s="3" t="s">
        <v>104</v>
      </c>
      <c r="T1" s="3" t="s">
        <v>115</v>
      </c>
      <c r="U1" s="3" t="s">
        <v>66</v>
      </c>
      <c r="V1" s="6" t="s">
        <v>68</v>
      </c>
      <c r="W1" s="3" t="s">
        <v>109</v>
      </c>
      <c r="X1" s="3" t="s">
        <v>111</v>
      </c>
    </row>
    <row r="2" customFormat="false" ht="12.75" hidden="false" customHeight="false" outlineLevel="0" collapsed="false">
      <c r="Q2" s="15"/>
      <c r="V2" s="4"/>
    </row>
  </sheetData>
  <printOptions headings="false" gridLines="false" gridLinesSet="true" horizontalCentered="false" verticalCentered="false"/>
  <pageMargins left="0.7875" right="0.7875" top="0.913888888888889" bottom="0.913888888888889" header="0.7875" footer="0.787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X2"/>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F1" activeCellId="0" sqref="F1"/>
    </sheetView>
  </sheetViews>
  <sheetFormatPr defaultColWidth="10.6796875" defaultRowHeight="12.75" zeroHeight="false" outlineLevelRow="0" outlineLevelCol="0"/>
  <cols>
    <col collapsed="false" customWidth="true" hidden="false" outlineLevel="0" max="16" min="16" style="0" width="19.86"/>
    <col collapsed="false" customWidth="true" hidden="false" outlineLevel="0" max="1020" min="1020" style="0" width="11.59"/>
  </cols>
  <sheetData>
    <row r="1" customFormat="false" ht="78.75" hidden="false" customHeight="true" outlineLevel="0" collapsed="false">
      <c r="A1" s="3" t="s">
        <v>79</v>
      </c>
      <c r="B1" s="3" t="s">
        <v>81</v>
      </c>
      <c r="C1" s="8" t="s">
        <v>2</v>
      </c>
      <c r="D1" s="3" t="s">
        <v>83</v>
      </c>
      <c r="E1" s="3" t="s">
        <v>114</v>
      </c>
      <c r="F1" s="3" t="s">
        <v>85</v>
      </c>
      <c r="G1" s="3" t="s">
        <v>86</v>
      </c>
      <c r="H1" s="3" t="s">
        <v>88</v>
      </c>
      <c r="I1" s="3" t="s">
        <v>89</v>
      </c>
      <c r="J1" s="3" t="s">
        <v>90</v>
      </c>
      <c r="K1" s="3" t="s">
        <v>92</v>
      </c>
      <c r="L1" s="3" t="s">
        <v>40</v>
      </c>
      <c r="M1" s="3" t="s">
        <v>42</v>
      </c>
      <c r="N1" s="3" t="s">
        <v>44</v>
      </c>
      <c r="O1" s="3" t="s">
        <v>97</v>
      </c>
      <c r="P1" s="3" t="s">
        <v>48</v>
      </c>
      <c r="Q1" s="3" t="s">
        <v>100</v>
      </c>
      <c r="R1" s="3" t="s">
        <v>102</v>
      </c>
      <c r="S1" s="3" t="s">
        <v>104</v>
      </c>
      <c r="T1" s="3" t="s">
        <v>115</v>
      </c>
      <c r="U1" s="3" t="s">
        <v>66</v>
      </c>
      <c r="V1" s="6" t="s">
        <v>68</v>
      </c>
      <c r="W1" s="3" t="s">
        <v>109</v>
      </c>
      <c r="X1" s="3" t="s">
        <v>111</v>
      </c>
    </row>
    <row r="2" customFormat="false" ht="12.75" hidden="false" customHeight="false" outlineLevel="0" collapsed="false">
      <c r="P2" s="15"/>
      <c r="V2"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2.75" zeroHeight="false" outlineLevelRow="0" outlineLevelCol="0"/>
  <cols>
    <col collapsed="false" customWidth="true" hidden="false" outlineLevel="0" max="1" min="1" style="0" width="17.73"/>
    <col collapsed="false" customWidth="true" hidden="false" outlineLevel="0" max="3" min="2" style="0" width="11.39"/>
    <col collapsed="false" customWidth="true" hidden="false" outlineLevel="0" max="4" min="4" style="0" width="16.39"/>
    <col collapsed="false" customWidth="true" hidden="false" outlineLevel="0" max="1025" min="5" style="0" width="11.39"/>
  </cols>
  <sheetData>
    <row r="1" customFormat="false" ht="15" hidden="false" customHeight="true" outlineLevel="0" collapsed="false">
      <c r="A1" s="23" t="s">
        <v>116</v>
      </c>
      <c r="B1" s="23" t="s">
        <v>117</v>
      </c>
      <c r="C1" s="23" t="s">
        <v>118</v>
      </c>
      <c r="D1" s="23" t="s">
        <v>119</v>
      </c>
    </row>
    <row r="2" customFormat="false" ht="15" hidden="false" customHeight="true" outlineLevel="0" collapsed="false">
      <c r="A2" s="24" t="s">
        <v>120</v>
      </c>
      <c r="B2" s="24"/>
      <c r="C2" s="24" t="s">
        <v>121</v>
      </c>
      <c r="D2" s="25" t="b">
        <f aca="false">TRUE()</f>
        <v>1</v>
      </c>
    </row>
    <row r="3" customFormat="false" ht="15" hidden="false" customHeight="true" outlineLevel="0" collapsed="false">
      <c r="A3" s="24" t="s">
        <v>122</v>
      </c>
      <c r="B3" s="24"/>
      <c r="C3" s="24" t="s">
        <v>123</v>
      </c>
      <c r="D3" s="25" t="b">
        <f aca="false">TRUE()</f>
        <v>1</v>
      </c>
    </row>
    <row r="4" customFormat="false" ht="15" hidden="false" customHeight="true" outlineLevel="0" collapsed="false">
      <c r="A4" s="24" t="s">
        <v>124</v>
      </c>
      <c r="B4" s="24"/>
      <c r="C4" s="24" t="s">
        <v>125</v>
      </c>
      <c r="D4" s="25" t="b">
        <f aca="false">TRUE()</f>
        <v>1</v>
      </c>
      <c r="E4" s="26"/>
      <c r="F4" s="27"/>
    </row>
    <row r="5" customFormat="false" ht="15" hidden="false" customHeight="true" outlineLevel="0" collapsed="false">
      <c r="A5" s="24" t="s">
        <v>126</v>
      </c>
      <c r="B5" s="24"/>
      <c r="C5" s="24" t="s">
        <v>127</v>
      </c>
      <c r="D5" s="25" t="b">
        <f aca="false">FALSE()</f>
        <v>0</v>
      </c>
      <c r="E5" s="26"/>
      <c r="F5" s="27"/>
    </row>
    <row r="6" customFormat="false" ht="15" hidden="false" customHeight="true" outlineLevel="0" collapsed="false">
      <c r="A6" s="24" t="s">
        <v>128</v>
      </c>
      <c r="B6" s="24"/>
      <c r="C6" s="24" t="s">
        <v>127</v>
      </c>
      <c r="D6" s="25" t="b">
        <f aca="false">FALSE()</f>
        <v>0</v>
      </c>
    </row>
    <row r="7" customFormat="false" ht="15" hidden="false" customHeight="true" outlineLevel="0" collapsed="false">
      <c r="A7" s="24" t="s">
        <v>129</v>
      </c>
      <c r="B7" s="24"/>
      <c r="C7" s="24" t="s">
        <v>127</v>
      </c>
      <c r="D7" s="25" t="b">
        <f aca="false">FALSE()</f>
        <v>0</v>
      </c>
    </row>
    <row r="8" customFormat="false" ht="15" hidden="false" customHeight="true" outlineLevel="0" collapsed="false">
      <c r="A8" s="24" t="s">
        <v>130</v>
      </c>
      <c r="B8" s="24"/>
      <c r="C8" s="24" t="s">
        <v>127</v>
      </c>
      <c r="D8" s="25" t="b">
        <f aca="false">FALSE()</f>
        <v>0</v>
      </c>
    </row>
    <row r="9" customFormat="false" ht="15" hidden="false" customHeight="true" outlineLevel="0" collapsed="false">
      <c r="A9" s="24" t="s">
        <v>131</v>
      </c>
      <c r="B9" s="24"/>
      <c r="C9" s="24" t="s">
        <v>127</v>
      </c>
      <c r="D9" s="25" t="b">
        <f aca="false">TRUE()</f>
        <v>1</v>
      </c>
    </row>
    <row r="10" customFormat="false" ht="15" hidden="false" customHeight="true" outlineLevel="0" collapsed="false">
      <c r="A10" s="24" t="s">
        <v>132</v>
      </c>
      <c r="B10" s="24"/>
      <c r="C10" s="24" t="s">
        <v>133</v>
      </c>
      <c r="D10" s="25" t="b">
        <f aca="false">TRUE()</f>
        <v>1</v>
      </c>
    </row>
    <row r="11" customFormat="false" ht="15" hidden="false" customHeight="true" outlineLevel="0" collapsed="false">
      <c r="A11" s="24" t="s">
        <v>134</v>
      </c>
      <c r="B11" s="24"/>
      <c r="C11" s="24" t="s">
        <v>135</v>
      </c>
      <c r="D11" s="25" t="b">
        <f aca="false">FALSE()</f>
        <v>0</v>
      </c>
    </row>
    <row r="12" customFormat="false" ht="15" hidden="false" customHeight="true" outlineLevel="0" collapsed="false">
      <c r="A12" s="24" t="s">
        <v>136</v>
      </c>
      <c r="B12" s="24"/>
      <c r="C12" s="24" t="s">
        <v>135</v>
      </c>
      <c r="D12" s="25" t="b">
        <f aca="false">FALSE()</f>
        <v>0</v>
      </c>
    </row>
    <row r="13" customFormat="false" ht="15" hidden="false" customHeight="true" outlineLevel="0" collapsed="false">
      <c r="A13" s="24" t="s">
        <v>137</v>
      </c>
      <c r="B13" s="24"/>
      <c r="C13" s="24" t="s">
        <v>135</v>
      </c>
      <c r="D13" s="25" t="b">
        <f aca="false">TRUE()</f>
        <v>1</v>
      </c>
    </row>
    <row r="14" customFormat="false" ht="15" hidden="false" customHeight="true" outlineLevel="0" collapsed="false">
      <c r="A14" s="24" t="s">
        <v>138</v>
      </c>
      <c r="B14" s="24"/>
      <c r="C14" s="24" t="s">
        <v>139</v>
      </c>
      <c r="D14" s="25" t="b">
        <f aca="false">FALSE()</f>
        <v>0</v>
      </c>
    </row>
    <row r="15" customFormat="false" ht="15" hidden="false" customHeight="true" outlineLevel="0" collapsed="false">
      <c r="A15" s="24" t="s">
        <v>140</v>
      </c>
      <c r="B15" s="24"/>
      <c r="C15" s="24" t="s">
        <v>139</v>
      </c>
      <c r="D15" s="25" t="b">
        <f aca="false">FALSE()</f>
        <v>0</v>
      </c>
    </row>
    <row r="16" customFormat="false" ht="15" hidden="false" customHeight="true" outlineLevel="0" collapsed="false">
      <c r="A16" s="24" t="s">
        <v>141</v>
      </c>
      <c r="B16" s="24"/>
      <c r="C16" s="24" t="s">
        <v>139</v>
      </c>
      <c r="D16" s="25" t="b">
        <f aca="false">FALSE()</f>
        <v>0</v>
      </c>
    </row>
    <row r="17" customFormat="false" ht="15" hidden="false" customHeight="true" outlineLevel="0" collapsed="false">
      <c r="A17" s="28" t="s">
        <v>142</v>
      </c>
      <c r="B17" s="28"/>
      <c r="C17" s="28" t="s">
        <v>139</v>
      </c>
      <c r="D17" s="25" t="b">
        <f aca="false">FALSE()</f>
        <v>0</v>
      </c>
    </row>
    <row r="18" customFormat="false" ht="15" hidden="false" customHeight="true" outlineLevel="0" collapsed="false">
      <c r="A18" s="24" t="s">
        <v>143</v>
      </c>
      <c r="B18" s="24"/>
      <c r="C18" s="24" t="s">
        <v>139</v>
      </c>
      <c r="D18" s="25" t="b">
        <f aca="false">FALSE()</f>
        <v>0</v>
      </c>
    </row>
    <row r="19" customFormat="false" ht="15" hidden="false" customHeight="true" outlineLevel="0" collapsed="false">
      <c r="A19" s="24" t="s">
        <v>144</v>
      </c>
      <c r="B19" s="24"/>
      <c r="C19" s="24" t="s">
        <v>139</v>
      </c>
      <c r="D19" s="25" t="b">
        <f aca="false">FALSE()</f>
        <v>0</v>
      </c>
    </row>
    <row r="20" customFormat="false" ht="15" hidden="false" customHeight="true" outlineLevel="0" collapsed="false">
      <c r="A20" s="24" t="s">
        <v>145</v>
      </c>
      <c r="B20" s="24"/>
      <c r="C20" s="24" t="s">
        <v>139</v>
      </c>
      <c r="D20" s="25" t="b">
        <f aca="false">FALSE()</f>
        <v>0</v>
      </c>
    </row>
    <row r="21" customFormat="false" ht="15" hidden="false" customHeight="true" outlineLevel="0" collapsed="false">
      <c r="A21" s="24" t="s">
        <v>146</v>
      </c>
      <c r="B21" s="24"/>
      <c r="C21" s="24" t="s">
        <v>139</v>
      </c>
      <c r="D21" s="25" t="b">
        <f aca="false">TRUE()</f>
        <v>1</v>
      </c>
    </row>
    <row r="22" customFormat="false" ht="15" hidden="false" customHeight="true" outlineLevel="0" collapsed="false">
      <c r="A22" s="24" t="s">
        <v>147</v>
      </c>
      <c r="B22" s="24"/>
      <c r="C22" s="24" t="s">
        <v>139</v>
      </c>
      <c r="D22" s="25" t="b">
        <f aca="false">FALSE()</f>
        <v>0</v>
      </c>
    </row>
    <row r="23" customFormat="false" ht="15" hidden="false" customHeight="true" outlineLevel="0" collapsed="false">
      <c r="A23" s="24" t="s">
        <v>148</v>
      </c>
      <c r="B23" s="24"/>
      <c r="C23" s="24" t="s">
        <v>139</v>
      </c>
      <c r="D23" s="25" t="b">
        <f aca="false">FALSE()</f>
        <v>0</v>
      </c>
    </row>
    <row r="24" customFormat="false" ht="15" hidden="false" customHeight="true" outlineLevel="0" collapsed="false">
      <c r="A24" s="24" t="s">
        <v>149</v>
      </c>
      <c r="B24" s="24"/>
      <c r="C24" s="24" t="s">
        <v>150</v>
      </c>
      <c r="D24" s="25" t="b">
        <f aca="false">FALSE()</f>
        <v>0</v>
      </c>
    </row>
    <row r="25" customFormat="false" ht="15" hidden="false" customHeight="true" outlineLevel="0" collapsed="false">
      <c r="A25" s="24" t="s">
        <v>151</v>
      </c>
      <c r="B25" s="24" t="s">
        <v>152</v>
      </c>
      <c r="C25" s="24" t="s">
        <v>150</v>
      </c>
      <c r="D25" s="25" t="b">
        <f aca="false">FALSE()</f>
        <v>0</v>
      </c>
    </row>
    <row r="26" customFormat="false" ht="15" hidden="false" customHeight="true" outlineLevel="0" collapsed="false">
      <c r="A26" s="24" t="s">
        <v>153</v>
      </c>
      <c r="B26" s="24"/>
      <c r="C26" s="24" t="s">
        <v>150</v>
      </c>
      <c r="D26" s="25" t="b">
        <f aca="false">TRUE()</f>
        <v>1</v>
      </c>
    </row>
    <row r="27" customFormat="false" ht="15" hidden="false" customHeight="true" outlineLevel="0" collapsed="false">
      <c r="A27" s="24" t="s">
        <v>154</v>
      </c>
      <c r="B27" s="24"/>
      <c r="C27" s="24" t="s">
        <v>155</v>
      </c>
      <c r="D27" s="25" t="b">
        <f aca="false">TRUE()</f>
        <v>1</v>
      </c>
    </row>
    <row r="28" customFormat="false" ht="15" hidden="false" customHeight="true" outlineLevel="0" collapsed="false">
      <c r="A28" s="24" t="s">
        <v>156</v>
      </c>
      <c r="B28" s="24"/>
      <c r="C28" s="24" t="s">
        <v>157</v>
      </c>
      <c r="D28" s="25" t="b">
        <f aca="false">FALSE()</f>
        <v>0</v>
      </c>
    </row>
    <row r="29" customFormat="false" ht="15" hidden="false" customHeight="true" outlineLevel="0" collapsed="false">
      <c r="A29" s="24" t="s">
        <v>158</v>
      </c>
      <c r="B29" s="24"/>
      <c r="C29" s="24" t="s">
        <v>157</v>
      </c>
      <c r="D29" s="25" t="b">
        <f aca="false">TRUE()</f>
        <v>1</v>
      </c>
    </row>
    <row r="30" customFormat="false" ht="15" hidden="false" customHeight="true" outlineLevel="0" collapsed="false">
      <c r="A30" s="24" t="s">
        <v>159</v>
      </c>
      <c r="B30" s="24"/>
      <c r="C30" s="24" t="s">
        <v>157</v>
      </c>
      <c r="D30" s="25" t="b">
        <f aca="false">FALSE()</f>
        <v>0</v>
      </c>
    </row>
    <row r="31" customFormat="false" ht="15" hidden="false" customHeight="true" outlineLevel="0" collapsed="false">
      <c r="A31" s="24" t="s">
        <v>160</v>
      </c>
      <c r="B31" s="24"/>
      <c r="C31" s="24" t="s">
        <v>161</v>
      </c>
      <c r="D31" s="25" t="b">
        <f aca="false">TRUE()</f>
        <v>1</v>
      </c>
    </row>
    <row r="32" customFormat="false" ht="15" hidden="false" customHeight="true" outlineLevel="0" collapsed="false">
      <c r="A32" s="24" t="s">
        <v>162</v>
      </c>
      <c r="B32" s="24"/>
      <c r="C32" s="24" t="s">
        <v>163</v>
      </c>
      <c r="D32" s="25" t="b">
        <f aca="false">FALSE()</f>
        <v>0</v>
      </c>
    </row>
    <row r="33" customFormat="false" ht="15" hidden="false" customHeight="true" outlineLevel="0" collapsed="false">
      <c r="A33" s="24" t="s">
        <v>164</v>
      </c>
      <c r="B33" s="24"/>
      <c r="C33" s="24" t="s">
        <v>163</v>
      </c>
      <c r="D33" s="25" t="b">
        <f aca="false">FALSE()</f>
        <v>0</v>
      </c>
    </row>
    <row r="34" customFormat="false" ht="15" hidden="false" customHeight="true" outlineLevel="0" collapsed="false">
      <c r="A34" s="24" t="s">
        <v>165</v>
      </c>
      <c r="B34" s="24"/>
      <c r="C34" s="24" t="s">
        <v>163</v>
      </c>
      <c r="D34" s="25" t="b">
        <f aca="false">FALSE()</f>
        <v>0</v>
      </c>
    </row>
    <row r="35" customFormat="false" ht="15" hidden="false" customHeight="true" outlineLevel="0" collapsed="false">
      <c r="A35" s="24" t="s">
        <v>166</v>
      </c>
      <c r="B35" s="24"/>
      <c r="C35" s="24" t="s">
        <v>163</v>
      </c>
      <c r="D35" s="25" t="b">
        <f aca="false">FALSE()</f>
        <v>0</v>
      </c>
    </row>
    <row r="36" customFormat="false" ht="15" hidden="false" customHeight="true" outlineLevel="0" collapsed="false">
      <c r="A36" s="24" t="s">
        <v>167</v>
      </c>
      <c r="B36" s="24"/>
      <c r="C36" s="24" t="s">
        <v>163</v>
      </c>
      <c r="D36" s="25" t="b">
        <f aca="false">FALSE()</f>
        <v>0</v>
      </c>
    </row>
    <row r="37" customFormat="false" ht="15" hidden="false" customHeight="true" outlineLevel="0" collapsed="false">
      <c r="A37" s="24" t="s">
        <v>168</v>
      </c>
      <c r="B37" s="24"/>
      <c r="C37" s="24" t="s">
        <v>163</v>
      </c>
      <c r="D37" s="25" t="b">
        <f aca="false">FALSE()</f>
        <v>0</v>
      </c>
    </row>
    <row r="38" customFormat="false" ht="15" hidden="false" customHeight="true" outlineLevel="0" collapsed="false">
      <c r="A38" s="24" t="s">
        <v>169</v>
      </c>
      <c r="B38" s="24"/>
      <c r="C38" s="24" t="s">
        <v>163</v>
      </c>
      <c r="D38" s="25" t="b">
        <f aca="false">FALSE()</f>
        <v>0</v>
      </c>
    </row>
    <row r="39" customFormat="false" ht="15" hidden="false" customHeight="true" outlineLevel="0" collapsed="false">
      <c r="A39" s="24" t="s">
        <v>170</v>
      </c>
      <c r="B39" s="24"/>
      <c r="C39" s="24" t="s">
        <v>163</v>
      </c>
      <c r="D39" s="25" t="b">
        <f aca="false">FALSE()</f>
        <v>0</v>
      </c>
    </row>
    <row r="40" customFormat="false" ht="15" hidden="false" customHeight="true" outlineLevel="0" collapsed="false">
      <c r="A40" s="24" t="s">
        <v>171</v>
      </c>
      <c r="B40" s="24"/>
      <c r="C40" s="24" t="s">
        <v>163</v>
      </c>
      <c r="D40" s="25" t="b">
        <f aca="false">FALSE()</f>
        <v>0</v>
      </c>
    </row>
    <row r="41" customFormat="false" ht="15" hidden="false" customHeight="true" outlineLevel="0" collapsed="false">
      <c r="A41" s="24" t="s">
        <v>172</v>
      </c>
      <c r="B41" s="24" t="s">
        <v>173</v>
      </c>
      <c r="C41" s="24" t="s">
        <v>174</v>
      </c>
      <c r="D41" s="25" t="b">
        <f aca="false">FALSE()</f>
        <v>0</v>
      </c>
    </row>
    <row r="42" customFormat="false" ht="15" hidden="false" customHeight="true" outlineLevel="0" collapsed="false">
      <c r="A42" s="24" t="s">
        <v>175</v>
      </c>
      <c r="B42" s="24"/>
      <c r="C42" s="24" t="s">
        <v>163</v>
      </c>
      <c r="D42" s="25" t="b">
        <f aca="false">FALSE()</f>
        <v>0</v>
      </c>
    </row>
    <row r="43" customFormat="false" ht="15" hidden="false" customHeight="true" outlineLevel="0" collapsed="false">
      <c r="A43" s="24" t="s">
        <v>176</v>
      </c>
      <c r="B43" s="24"/>
      <c r="C43" s="24" t="s">
        <v>163</v>
      </c>
      <c r="D43" s="25" t="b">
        <f aca="false">FALSE()</f>
        <v>0</v>
      </c>
    </row>
    <row r="44" customFormat="false" ht="15" hidden="false" customHeight="true" outlineLevel="0" collapsed="false">
      <c r="A44" s="24" t="s">
        <v>177</v>
      </c>
      <c r="B44" s="24"/>
      <c r="C44" s="24" t="s">
        <v>163</v>
      </c>
      <c r="D44" s="25" t="b">
        <f aca="false">FALSE()</f>
        <v>0</v>
      </c>
    </row>
    <row r="45" customFormat="false" ht="15" hidden="false" customHeight="true" outlineLevel="0" collapsed="false">
      <c r="A45" s="24" t="s">
        <v>178</v>
      </c>
      <c r="B45" s="24"/>
      <c r="C45" s="24" t="s">
        <v>163</v>
      </c>
      <c r="D45" s="25" t="b">
        <f aca="false">TRUE()</f>
        <v>1</v>
      </c>
    </row>
    <row r="46" customFormat="false" ht="15" hidden="false" customHeight="true" outlineLevel="0" collapsed="false">
      <c r="A46" s="24" t="s">
        <v>179</v>
      </c>
      <c r="B46" s="24"/>
      <c r="C46" s="24" t="s">
        <v>163</v>
      </c>
      <c r="D46" s="25" t="b">
        <f aca="false">FALSE()</f>
        <v>0</v>
      </c>
    </row>
    <row r="47" customFormat="false" ht="15" hidden="false" customHeight="true" outlineLevel="0" collapsed="false">
      <c r="A47" s="24" t="s">
        <v>180</v>
      </c>
      <c r="B47" s="24"/>
      <c r="C47" s="24" t="s">
        <v>181</v>
      </c>
      <c r="D47" s="25" t="b">
        <f aca="false">TRUE()</f>
        <v>1</v>
      </c>
    </row>
    <row r="48" customFormat="false" ht="15" hidden="false" customHeight="true" outlineLevel="0" collapsed="false">
      <c r="A48" s="24" t="s">
        <v>182</v>
      </c>
      <c r="B48" s="24"/>
      <c r="C48" s="24" t="s">
        <v>181</v>
      </c>
      <c r="D48" s="25" t="b">
        <f aca="false">TRUE()</f>
        <v>1</v>
      </c>
    </row>
    <row r="49" customFormat="false" ht="15" hidden="false" customHeight="true" outlineLevel="0" collapsed="false">
      <c r="A49" s="24" t="s">
        <v>183</v>
      </c>
      <c r="B49" s="24"/>
      <c r="C49" s="24" t="s">
        <v>184</v>
      </c>
      <c r="D49" s="25" t="b">
        <f aca="false">FALSE()</f>
        <v>0</v>
      </c>
    </row>
    <row r="50" customFormat="false" ht="15" hidden="false" customHeight="true" outlineLevel="0" collapsed="false">
      <c r="A50" s="24" t="s">
        <v>185</v>
      </c>
      <c r="B50" s="24"/>
      <c r="C50" s="24" t="s">
        <v>184</v>
      </c>
      <c r="D50" s="25" t="b">
        <f aca="false">FALSE()</f>
        <v>0</v>
      </c>
    </row>
    <row r="51" customFormat="false" ht="15" hidden="false" customHeight="true" outlineLevel="0" collapsed="false">
      <c r="A51" s="24" t="s">
        <v>186</v>
      </c>
      <c r="B51" s="24"/>
      <c r="C51" s="24" t="s">
        <v>184</v>
      </c>
      <c r="D51" s="25" t="b">
        <f aca="false">FALSE()</f>
        <v>0</v>
      </c>
    </row>
    <row r="52" customFormat="false" ht="15" hidden="false" customHeight="true" outlineLevel="0" collapsed="false">
      <c r="A52" s="24" t="s">
        <v>187</v>
      </c>
      <c r="B52" s="24"/>
      <c r="C52" s="24" t="s">
        <v>184</v>
      </c>
      <c r="D52" s="25" t="b">
        <f aca="false">FALSE()</f>
        <v>0</v>
      </c>
    </row>
    <row r="53" customFormat="false" ht="15" hidden="false" customHeight="true" outlineLevel="0" collapsed="false">
      <c r="A53" s="24" t="s">
        <v>188</v>
      </c>
      <c r="B53" s="24"/>
      <c r="C53" s="24" t="s">
        <v>184</v>
      </c>
      <c r="D53" s="25" t="b">
        <f aca="false">FALSE()</f>
        <v>0</v>
      </c>
    </row>
    <row r="54" customFormat="false" ht="15" hidden="false" customHeight="true" outlineLevel="0" collapsed="false">
      <c r="A54" s="24" t="s">
        <v>189</v>
      </c>
      <c r="B54" s="24"/>
      <c r="C54" s="24" t="s">
        <v>184</v>
      </c>
      <c r="D54" s="25" t="b">
        <f aca="false">FALSE()</f>
        <v>0</v>
      </c>
    </row>
    <row r="55" customFormat="false" ht="15" hidden="false" customHeight="true" outlineLevel="0" collapsed="false">
      <c r="A55" s="24" t="s">
        <v>190</v>
      </c>
      <c r="B55" s="24"/>
      <c r="C55" s="24" t="s">
        <v>184</v>
      </c>
      <c r="D55" s="25" t="b">
        <f aca="false">FALSE()</f>
        <v>0</v>
      </c>
    </row>
    <row r="56" customFormat="false" ht="15" hidden="false" customHeight="true" outlineLevel="0" collapsed="false">
      <c r="A56" s="24" t="s">
        <v>191</v>
      </c>
      <c r="B56" s="24"/>
      <c r="C56" s="24" t="s">
        <v>184</v>
      </c>
      <c r="D56" s="25" t="b">
        <f aca="false">FALSE()</f>
        <v>0</v>
      </c>
    </row>
    <row r="57" customFormat="false" ht="15" hidden="false" customHeight="true" outlineLevel="0" collapsed="false">
      <c r="A57" s="24" t="s">
        <v>192</v>
      </c>
      <c r="B57" s="24"/>
      <c r="C57" s="24" t="s">
        <v>184</v>
      </c>
      <c r="D57" s="25" t="b">
        <f aca="false">FALSE()</f>
        <v>0</v>
      </c>
    </row>
    <row r="58" customFormat="false" ht="15" hidden="false" customHeight="true" outlineLevel="0" collapsed="false">
      <c r="A58" s="24" t="s">
        <v>193</v>
      </c>
      <c r="B58" s="24"/>
      <c r="C58" s="24" t="s">
        <v>184</v>
      </c>
      <c r="D58" s="25" t="b">
        <f aca="false">FALSE()</f>
        <v>0</v>
      </c>
    </row>
    <row r="59" customFormat="false" ht="15" hidden="false" customHeight="true" outlineLevel="0" collapsed="false">
      <c r="A59" s="24" t="s">
        <v>194</v>
      </c>
      <c r="B59" s="24"/>
      <c r="C59" s="24" t="s">
        <v>184</v>
      </c>
      <c r="D59" s="25" t="b">
        <f aca="false">TRUE()</f>
        <v>1</v>
      </c>
    </row>
    <row r="60" customFormat="false" ht="15" hidden="false" customHeight="true" outlineLevel="0" collapsed="false">
      <c r="A60" s="24" t="s">
        <v>195</v>
      </c>
      <c r="B60" s="24"/>
      <c r="C60" s="24" t="s">
        <v>196</v>
      </c>
      <c r="D60" s="25" t="b">
        <f aca="false">FALSE()</f>
        <v>0</v>
      </c>
    </row>
    <row r="61" customFormat="false" ht="15" hidden="false" customHeight="true" outlineLevel="0" collapsed="false">
      <c r="A61" s="24" t="s">
        <v>197</v>
      </c>
      <c r="B61" s="24"/>
      <c r="C61" s="24" t="s">
        <v>196</v>
      </c>
      <c r="D61" s="25" t="b">
        <f aca="false">FALSE()</f>
        <v>0</v>
      </c>
    </row>
    <row r="62" customFormat="false" ht="15" hidden="false" customHeight="true" outlineLevel="0" collapsed="false">
      <c r="A62" s="24" t="s">
        <v>198</v>
      </c>
      <c r="B62" s="24"/>
      <c r="C62" s="24" t="s">
        <v>196</v>
      </c>
      <c r="D62" s="25" t="b">
        <f aca="false">FALSE()</f>
        <v>0</v>
      </c>
    </row>
    <row r="63" customFormat="false" ht="15" hidden="false" customHeight="true" outlineLevel="0" collapsed="false">
      <c r="A63" s="24" t="s">
        <v>199</v>
      </c>
      <c r="B63" s="24"/>
      <c r="C63" s="24" t="s">
        <v>196</v>
      </c>
      <c r="D63" s="25" t="b">
        <f aca="false">FALSE()</f>
        <v>0</v>
      </c>
    </row>
    <row r="64" customFormat="false" ht="15" hidden="false" customHeight="true" outlineLevel="0" collapsed="false">
      <c r="A64" s="24" t="s">
        <v>200</v>
      </c>
      <c r="B64" s="24"/>
      <c r="C64" s="24" t="s">
        <v>196</v>
      </c>
      <c r="D64" s="25" t="b">
        <f aca="false">FALSE()</f>
        <v>0</v>
      </c>
    </row>
    <row r="65" customFormat="false" ht="15" hidden="false" customHeight="true" outlineLevel="0" collapsed="false">
      <c r="A65" s="24" t="s">
        <v>201</v>
      </c>
      <c r="B65" s="24"/>
      <c r="C65" s="24" t="s">
        <v>196</v>
      </c>
      <c r="D65" s="25" t="b">
        <f aca="false">FALSE()</f>
        <v>0</v>
      </c>
    </row>
    <row r="66" customFormat="false" ht="15" hidden="false" customHeight="true" outlineLevel="0" collapsed="false">
      <c r="A66" s="24" t="s">
        <v>202</v>
      </c>
      <c r="B66" s="24"/>
      <c r="C66" s="24" t="s">
        <v>196</v>
      </c>
      <c r="D66" s="25" t="b">
        <f aca="false">FALSE()</f>
        <v>0</v>
      </c>
    </row>
    <row r="67" customFormat="false" ht="15" hidden="false" customHeight="true" outlineLevel="0" collapsed="false">
      <c r="A67" s="24" t="s">
        <v>203</v>
      </c>
      <c r="B67" s="24"/>
      <c r="C67" s="24" t="s">
        <v>196</v>
      </c>
      <c r="D67" s="25" t="b">
        <f aca="false">FALSE()</f>
        <v>0</v>
      </c>
    </row>
    <row r="68" customFormat="false" ht="15" hidden="false" customHeight="true" outlineLevel="0" collapsed="false">
      <c r="A68" s="24" t="s">
        <v>204</v>
      </c>
      <c r="B68" s="24"/>
      <c r="C68" s="24" t="s">
        <v>196</v>
      </c>
      <c r="D68" s="25" t="b">
        <f aca="false">FALSE()</f>
        <v>0</v>
      </c>
    </row>
    <row r="69" customFormat="false" ht="15" hidden="false" customHeight="true" outlineLevel="0" collapsed="false">
      <c r="A69" s="24" t="s">
        <v>205</v>
      </c>
      <c r="B69" s="24"/>
      <c r="C69" s="24" t="s">
        <v>196</v>
      </c>
      <c r="D69" s="25" t="b">
        <f aca="false">FALSE()</f>
        <v>0</v>
      </c>
    </row>
    <row r="70" customFormat="false" ht="15" hidden="false" customHeight="true" outlineLevel="0" collapsed="false">
      <c r="A70" s="24" t="s">
        <v>206</v>
      </c>
      <c r="B70" s="24"/>
      <c r="C70" s="24" t="s">
        <v>196</v>
      </c>
      <c r="D70" s="25" t="b">
        <f aca="false">FALSE()</f>
        <v>0</v>
      </c>
    </row>
    <row r="71" customFormat="false" ht="15" hidden="false" customHeight="true" outlineLevel="0" collapsed="false">
      <c r="A71" s="24" t="s">
        <v>207</v>
      </c>
      <c r="B71" s="24"/>
      <c r="C71" s="24" t="s">
        <v>196</v>
      </c>
      <c r="D71" s="25" t="b">
        <f aca="false">FALSE()</f>
        <v>0</v>
      </c>
    </row>
    <row r="72" customFormat="false" ht="15" hidden="false" customHeight="true" outlineLevel="0" collapsed="false">
      <c r="A72" s="24" t="s">
        <v>208</v>
      </c>
      <c r="B72" s="24"/>
      <c r="C72" s="24" t="s">
        <v>196</v>
      </c>
      <c r="D72" s="25" t="b">
        <f aca="false">FALSE()</f>
        <v>0</v>
      </c>
    </row>
    <row r="73" customFormat="false" ht="15" hidden="false" customHeight="true" outlineLevel="0" collapsed="false">
      <c r="A73" s="24" t="s">
        <v>209</v>
      </c>
      <c r="B73" s="24"/>
      <c r="C73" s="24" t="s">
        <v>196</v>
      </c>
      <c r="D73" s="25" t="b">
        <f aca="false">TRUE()</f>
        <v>1</v>
      </c>
    </row>
    <row r="74" customFormat="false" ht="15" hidden="false" customHeight="true" outlineLevel="0" collapsed="false">
      <c r="A74" s="24" t="s">
        <v>210</v>
      </c>
      <c r="B74" s="24"/>
      <c r="C74" s="24" t="s">
        <v>196</v>
      </c>
      <c r="D74" s="25" t="b">
        <f aca="false">FALSE()</f>
        <v>0</v>
      </c>
    </row>
    <row r="75" customFormat="false" ht="15" hidden="false" customHeight="true" outlineLevel="0" collapsed="false">
      <c r="A75" s="24" t="s">
        <v>211</v>
      </c>
      <c r="B75" s="24"/>
      <c r="C75" s="24" t="s">
        <v>212</v>
      </c>
      <c r="D75" s="25" t="b">
        <f aca="false">FALSE()</f>
        <v>0</v>
      </c>
    </row>
    <row r="76" customFormat="false" ht="15" hidden="false" customHeight="true" outlineLevel="0" collapsed="false">
      <c r="A76" s="24" t="s">
        <v>213</v>
      </c>
      <c r="B76" s="24"/>
      <c r="C76" s="24" t="s">
        <v>212</v>
      </c>
      <c r="D76" s="25" t="b">
        <f aca="false">FALSE()</f>
        <v>0</v>
      </c>
    </row>
    <row r="77" customFormat="false" ht="15" hidden="false" customHeight="true" outlineLevel="0" collapsed="false">
      <c r="A77" s="24" t="s">
        <v>214</v>
      </c>
      <c r="B77" s="24"/>
      <c r="C77" s="24" t="s">
        <v>212</v>
      </c>
      <c r="D77" s="25" t="b">
        <f aca="false">FALSE()</f>
        <v>0</v>
      </c>
    </row>
    <row r="78" customFormat="false" ht="15" hidden="false" customHeight="true" outlineLevel="0" collapsed="false">
      <c r="A78" s="24" t="s">
        <v>215</v>
      </c>
      <c r="B78" s="24"/>
      <c r="C78" s="24" t="s">
        <v>212</v>
      </c>
      <c r="D78" s="25" t="b">
        <f aca="false">TRUE()</f>
        <v>1</v>
      </c>
    </row>
    <row r="79" customFormat="false" ht="15" hidden="false" customHeight="true" outlineLevel="0" collapsed="false">
      <c r="A79" s="24" t="s">
        <v>216</v>
      </c>
      <c r="B79" s="24"/>
      <c r="C79" s="24" t="s">
        <v>212</v>
      </c>
      <c r="D79" s="25" t="b">
        <f aca="false">FALSE()</f>
        <v>0</v>
      </c>
    </row>
    <row r="80" customFormat="false" ht="15" hidden="false" customHeight="true" outlineLevel="0" collapsed="false">
      <c r="A80" s="24" t="s">
        <v>217</v>
      </c>
      <c r="B80" s="24"/>
      <c r="C80" s="24" t="s">
        <v>218</v>
      </c>
      <c r="D80" s="25" t="b">
        <f aca="false">TRUE()</f>
        <v>1</v>
      </c>
    </row>
    <row r="81" customFormat="false" ht="15" hidden="false" customHeight="true" outlineLevel="0" collapsed="false">
      <c r="A81" s="24" t="s">
        <v>219</v>
      </c>
      <c r="B81" s="24"/>
      <c r="C81" s="24" t="s">
        <v>220</v>
      </c>
      <c r="D81" s="25" t="b">
        <f aca="false">FALSE()</f>
        <v>0</v>
      </c>
    </row>
    <row r="82" customFormat="false" ht="15" hidden="false" customHeight="true" outlineLevel="0" collapsed="false">
      <c r="A82" s="24" t="s">
        <v>221</v>
      </c>
      <c r="B82" s="24"/>
      <c r="C82" s="24" t="s">
        <v>220</v>
      </c>
      <c r="D82" s="25" t="b">
        <f aca="false">FALSE()</f>
        <v>0</v>
      </c>
    </row>
    <row r="83" customFormat="false" ht="15" hidden="false" customHeight="true" outlineLevel="0" collapsed="false">
      <c r="A83" s="24" t="s">
        <v>222</v>
      </c>
      <c r="B83" s="24"/>
      <c r="C83" s="24" t="s">
        <v>220</v>
      </c>
      <c r="D83" s="25" t="b">
        <f aca="false">FALSE()</f>
        <v>0</v>
      </c>
    </row>
    <row r="84" customFormat="false" ht="15" hidden="false" customHeight="true" outlineLevel="0" collapsed="false">
      <c r="A84" s="24" t="s">
        <v>223</v>
      </c>
      <c r="B84" s="24"/>
      <c r="C84" s="24" t="s">
        <v>220</v>
      </c>
      <c r="D84" s="25" t="b">
        <f aca="false">FALSE()</f>
        <v>0</v>
      </c>
    </row>
    <row r="85" customFormat="false" ht="15" hidden="false" customHeight="true" outlineLevel="0" collapsed="false">
      <c r="A85" s="24" t="s">
        <v>224</v>
      </c>
      <c r="B85" s="24"/>
      <c r="C85" s="24" t="s">
        <v>220</v>
      </c>
      <c r="D85" s="25" t="b">
        <f aca="false">FALSE()</f>
        <v>0</v>
      </c>
    </row>
    <row r="86" customFormat="false" ht="15" hidden="false" customHeight="true" outlineLevel="0" collapsed="false">
      <c r="A86" s="24" t="s">
        <v>225</v>
      </c>
      <c r="B86" s="24"/>
      <c r="C86" s="24" t="s">
        <v>220</v>
      </c>
      <c r="D86" s="25" t="b">
        <f aca="false">TRUE()</f>
        <v>1</v>
      </c>
    </row>
    <row r="87" customFormat="false" ht="15" hidden="false" customHeight="true" outlineLevel="0" collapsed="false">
      <c r="A87" s="24" t="s">
        <v>226</v>
      </c>
      <c r="B87" s="24"/>
      <c r="C87" s="24" t="s">
        <v>220</v>
      </c>
      <c r="D87" s="25" t="b">
        <f aca="false">FALSE()</f>
        <v>0</v>
      </c>
    </row>
    <row r="88" customFormat="false" ht="15" hidden="false" customHeight="true" outlineLevel="0" collapsed="false">
      <c r="A88" s="24" t="s">
        <v>227</v>
      </c>
      <c r="B88" s="24"/>
      <c r="C88" s="24" t="s">
        <v>228</v>
      </c>
      <c r="D88" s="25" t="b">
        <f aca="false">TRUE()</f>
        <v>1</v>
      </c>
    </row>
    <row r="89" customFormat="false" ht="15" hidden="false" customHeight="true" outlineLevel="0" collapsed="false">
      <c r="A89" s="24" t="s">
        <v>229</v>
      </c>
      <c r="B89" s="24" t="s">
        <v>230</v>
      </c>
      <c r="C89" s="24" t="s">
        <v>231</v>
      </c>
      <c r="D89" s="25" t="b">
        <f aca="false">TRUE()</f>
        <v>1</v>
      </c>
    </row>
    <row r="90" customFormat="false" ht="15" hidden="false" customHeight="true" outlineLevel="0" collapsed="false">
      <c r="A90" s="24" t="s">
        <v>232</v>
      </c>
      <c r="B90" s="24"/>
      <c r="C90" s="24" t="s">
        <v>233</v>
      </c>
      <c r="D90" s="25" t="b">
        <f aca="false">FALSE()</f>
        <v>0</v>
      </c>
    </row>
    <row r="91" customFormat="false" ht="15" hidden="false" customHeight="true" outlineLevel="0" collapsed="false">
      <c r="A91" s="24" t="s">
        <v>234</v>
      </c>
      <c r="B91" s="24"/>
      <c r="C91" s="24" t="s">
        <v>233</v>
      </c>
      <c r="D91" s="25" t="b">
        <f aca="false">FALSE()</f>
        <v>0</v>
      </c>
    </row>
    <row r="92" customFormat="false" ht="15" hidden="false" customHeight="true" outlineLevel="0" collapsed="false">
      <c r="A92" s="24" t="s">
        <v>235</v>
      </c>
      <c r="B92" s="24"/>
      <c r="C92" s="24" t="s">
        <v>233</v>
      </c>
      <c r="D92" s="25" t="b">
        <f aca="false">FALSE()</f>
        <v>0</v>
      </c>
    </row>
    <row r="93" customFormat="false" ht="15" hidden="false" customHeight="true" outlineLevel="0" collapsed="false">
      <c r="A93" s="24" t="s">
        <v>236</v>
      </c>
      <c r="B93" s="24"/>
      <c r="C93" s="24" t="s">
        <v>233</v>
      </c>
      <c r="D93" s="25" t="b">
        <f aca="false">FALSE()</f>
        <v>0</v>
      </c>
    </row>
    <row r="94" customFormat="false" ht="15" hidden="false" customHeight="true" outlineLevel="0" collapsed="false">
      <c r="A94" s="24" t="s">
        <v>237</v>
      </c>
      <c r="B94" s="24"/>
      <c r="C94" s="24" t="s">
        <v>233</v>
      </c>
      <c r="D94" s="25" t="b">
        <f aca="false">FALSE()</f>
        <v>0</v>
      </c>
    </row>
    <row r="95" customFormat="false" ht="15" hidden="false" customHeight="true" outlineLevel="0" collapsed="false">
      <c r="A95" s="24" t="s">
        <v>238</v>
      </c>
      <c r="B95" s="24"/>
      <c r="C95" s="24" t="s">
        <v>233</v>
      </c>
      <c r="D95" s="25" t="b">
        <f aca="false">FALSE()</f>
        <v>0</v>
      </c>
    </row>
    <row r="96" customFormat="false" ht="15" hidden="false" customHeight="true" outlineLevel="0" collapsed="false">
      <c r="A96" s="24" t="s">
        <v>239</v>
      </c>
      <c r="B96" s="24"/>
      <c r="C96" s="24" t="s">
        <v>233</v>
      </c>
      <c r="D96" s="25" t="b">
        <f aca="false">FALSE()</f>
        <v>0</v>
      </c>
    </row>
    <row r="97" customFormat="false" ht="15" hidden="false" customHeight="true" outlineLevel="0" collapsed="false">
      <c r="A97" s="24" t="s">
        <v>240</v>
      </c>
      <c r="B97" s="24"/>
      <c r="C97" s="24" t="s">
        <v>233</v>
      </c>
      <c r="D97" s="25" t="b">
        <f aca="false">FALSE()</f>
        <v>0</v>
      </c>
    </row>
    <row r="98" customFormat="false" ht="15" hidden="false" customHeight="true" outlineLevel="0" collapsed="false">
      <c r="A98" s="24" t="s">
        <v>241</v>
      </c>
      <c r="B98" s="24"/>
      <c r="C98" s="24" t="s">
        <v>233</v>
      </c>
      <c r="D98" s="25" t="b">
        <f aca="false">FALSE()</f>
        <v>0</v>
      </c>
    </row>
    <row r="99" customFormat="false" ht="15" hidden="false" customHeight="true" outlineLevel="0" collapsed="false">
      <c r="A99" s="24" t="s">
        <v>242</v>
      </c>
      <c r="B99" s="24"/>
      <c r="C99" s="24" t="s">
        <v>233</v>
      </c>
      <c r="D99" s="25" t="b">
        <f aca="false">FALSE()</f>
        <v>0</v>
      </c>
    </row>
    <row r="100" customFormat="false" ht="15" hidden="false" customHeight="true" outlineLevel="0" collapsed="false">
      <c r="A100" s="24" t="s">
        <v>243</v>
      </c>
      <c r="B100" s="24"/>
      <c r="C100" s="24" t="s">
        <v>233</v>
      </c>
      <c r="D100" s="25" t="b">
        <f aca="false">FALSE()</f>
        <v>0</v>
      </c>
    </row>
    <row r="101" customFormat="false" ht="15" hidden="false" customHeight="true" outlineLevel="0" collapsed="false">
      <c r="A101" s="24" t="s">
        <v>244</v>
      </c>
      <c r="B101" s="24"/>
      <c r="C101" s="24" t="s">
        <v>233</v>
      </c>
      <c r="D101" s="25" t="b">
        <f aca="false">FALSE()</f>
        <v>0</v>
      </c>
    </row>
    <row r="102" customFormat="false" ht="15" hidden="false" customHeight="true" outlineLevel="0" collapsed="false">
      <c r="A102" s="24" t="s">
        <v>245</v>
      </c>
      <c r="B102" s="24"/>
      <c r="C102" s="24" t="s">
        <v>233</v>
      </c>
      <c r="D102" s="25" t="b">
        <f aca="false">FALSE()</f>
        <v>0</v>
      </c>
    </row>
    <row r="103" customFormat="false" ht="15" hidden="false" customHeight="true" outlineLevel="0" collapsed="false">
      <c r="A103" s="24" t="s">
        <v>246</v>
      </c>
      <c r="B103" s="24"/>
      <c r="C103" s="24" t="s">
        <v>233</v>
      </c>
      <c r="D103" s="25" t="b">
        <f aca="false">FALSE()</f>
        <v>0</v>
      </c>
    </row>
    <row r="104" customFormat="false" ht="15" hidden="false" customHeight="true" outlineLevel="0" collapsed="false">
      <c r="A104" s="24" t="s">
        <v>247</v>
      </c>
      <c r="B104" s="24"/>
      <c r="C104" s="24" t="s">
        <v>233</v>
      </c>
      <c r="D104" s="25" t="b">
        <f aca="false">FALSE()</f>
        <v>0</v>
      </c>
      <c r="E104" s="15"/>
    </row>
    <row r="105" customFormat="false" ht="15" hidden="false" customHeight="true" outlineLevel="0" collapsed="false">
      <c r="A105" s="24" t="s">
        <v>248</v>
      </c>
      <c r="B105" s="24"/>
      <c r="C105" s="24" t="s">
        <v>233</v>
      </c>
      <c r="D105" s="25" t="b">
        <f aca="false">FALSE()</f>
        <v>0</v>
      </c>
    </row>
    <row r="106" customFormat="false" ht="15" hidden="false" customHeight="true" outlineLevel="0" collapsed="false">
      <c r="A106" s="24" t="s">
        <v>249</v>
      </c>
      <c r="B106" s="24"/>
      <c r="C106" s="24" t="s">
        <v>233</v>
      </c>
      <c r="D106" s="25" t="b">
        <f aca="false">TRUE()</f>
        <v>1</v>
      </c>
    </row>
    <row r="107" customFormat="false" ht="15" hidden="false" customHeight="true" outlineLevel="0" collapsed="false">
      <c r="A107" s="24" t="s">
        <v>250</v>
      </c>
      <c r="B107" s="24"/>
      <c r="C107" s="24" t="s">
        <v>233</v>
      </c>
      <c r="D107" s="25" t="b">
        <f aca="false">FALSE()</f>
        <v>0</v>
      </c>
    </row>
    <row r="108" customFormat="false" ht="15" hidden="false" customHeight="true" outlineLevel="0" collapsed="false">
      <c r="A108" s="24" t="s">
        <v>251</v>
      </c>
      <c r="B108" s="24"/>
      <c r="C108" s="24" t="s">
        <v>233</v>
      </c>
      <c r="D108" s="25" t="b">
        <f aca="false">FALSE()</f>
        <v>0</v>
      </c>
    </row>
    <row r="109" customFormat="false" ht="15" hidden="false" customHeight="true" outlineLevel="0" collapsed="false">
      <c r="A109" s="24" t="s">
        <v>252</v>
      </c>
      <c r="B109" s="24"/>
      <c r="C109" s="24" t="s">
        <v>233</v>
      </c>
      <c r="D109" s="25" t="b">
        <f aca="false">FALSE()</f>
        <v>0</v>
      </c>
    </row>
    <row r="110" customFormat="false" ht="15" hidden="false" customHeight="true" outlineLevel="0" collapsed="false">
      <c r="A110" s="24" t="s">
        <v>253</v>
      </c>
      <c r="B110" s="24"/>
      <c r="C110" s="24" t="s">
        <v>233</v>
      </c>
      <c r="D110" s="25" t="b">
        <f aca="false">FALSE()</f>
        <v>0</v>
      </c>
    </row>
    <row r="111" customFormat="false" ht="15" hidden="false" customHeight="true" outlineLevel="0" collapsed="false">
      <c r="A111" s="24" t="s">
        <v>254</v>
      </c>
      <c r="B111" s="24"/>
      <c r="C111" s="24" t="s">
        <v>255</v>
      </c>
      <c r="D111" s="25" t="b">
        <f aca="false">TRUE()</f>
        <v>1</v>
      </c>
    </row>
    <row r="112" customFormat="false" ht="15" hidden="false" customHeight="true" outlineLevel="0" collapsed="false">
      <c r="A112" s="24" t="s">
        <v>256</v>
      </c>
      <c r="B112" s="24"/>
      <c r="C112" s="24" t="s">
        <v>257</v>
      </c>
      <c r="D112" s="25" t="b">
        <f aca="false">FALSE()</f>
        <v>0</v>
      </c>
    </row>
    <row r="113" customFormat="false" ht="15" hidden="false" customHeight="true" outlineLevel="0" collapsed="false">
      <c r="A113" s="24" t="s">
        <v>258</v>
      </c>
      <c r="B113" s="24"/>
      <c r="C113" s="24" t="s">
        <v>257</v>
      </c>
      <c r="D113" s="25" t="b">
        <f aca="false">TRUE()</f>
        <v>1</v>
      </c>
    </row>
    <row r="114" customFormat="false" ht="15" hidden="false" customHeight="true" outlineLevel="0" collapsed="false">
      <c r="A114" s="24" t="s">
        <v>259</v>
      </c>
      <c r="B114" s="24"/>
      <c r="C114" s="24" t="s">
        <v>260</v>
      </c>
      <c r="D114" s="25" t="b">
        <f aca="false">FALSE()</f>
        <v>0</v>
      </c>
    </row>
    <row r="115" customFormat="false" ht="15" hidden="false" customHeight="true" outlineLevel="0" collapsed="false">
      <c r="A115" s="24" t="s">
        <v>261</v>
      </c>
      <c r="B115" s="24"/>
      <c r="C115" s="24" t="s">
        <v>260</v>
      </c>
      <c r="D115" s="25" t="b">
        <f aca="false">TRUE()</f>
        <v>1</v>
      </c>
    </row>
    <row r="116" customFormat="false" ht="15" hidden="false" customHeight="true" outlineLevel="0" collapsed="false">
      <c r="A116" s="24" t="s">
        <v>262</v>
      </c>
      <c r="B116" s="24"/>
      <c r="C116" s="24" t="s">
        <v>263</v>
      </c>
      <c r="D116" s="25" t="b">
        <f aca="false">FALSE()</f>
        <v>0</v>
      </c>
    </row>
    <row r="117" customFormat="false" ht="15" hidden="false" customHeight="true" outlineLevel="0" collapsed="false">
      <c r="A117" s="24" t="s">
        <v>264</v>
      </c>
      <c r="B117" s="24"/>
      <c r="C117" s="24" t="s">
        <v>263</v>
      </c>
      <c r="D117" s="25" t="b">
        <f aca="false">TRUE()</f>
        <v>1</v>
      </c>
    </row>
    <row r="118" customFormat="false" ht="15" hidden="false" customHeight="true" outlineLevel="0" collapsed="false">
      <c r="A118" s="24" t="s">
        <v>265</v>
      </c>
      <c r="B118" s="24"/>
      <c r="C118" s="24" t="s">
        <v>266</v>
      </c>
      <c r="D118" s="25" t="b">
        <f aca="false">TRUE()</f>
        <v>1</v>
      </c>
    </row>
    <row r="119" customFormat="false" ht="15" hidden="false" customHeight="true" outlineLevel="0" collapsed="false">
      <c r="A119" s="24" t="s">
        <v>267</v>
      </c>
      <c r="B119" s="24"/>
      <c r="C119" s="24" t="s">
        <v>268</v>
      </c>
      <c r="D119" s="25" t="b">
        <f aca="false">TRUE()</f>
        <v>1</v>
      </c>
    </row>
    <row r="120" customFormat="false" ht="15" hidden="false" customHeight="true" outlineLevel="0" collapsed="false">
      <c r="A120" s="24" t="s">
        <v>269</v>
      </c>
      <c r="B120" s="24"/>
      <c r="C120" s="24" t="s">
        <v>270</v>
      </c>
      <c r="D120" s="25" t="b">
        <f aca="false">TRUE()</f>
        <v>1</v>
      </c>
    </row>
    <row r="121" customFormat="false" ht="15" hidden="false" customHeight="true" outlineLevel="0" collapsed="false">
      <c r="A121" s="24" t="s">
        <v>271</v>
      </c>
      <c r="B121" s="24"/>
      <c r="C121" s="24" t="s">
        <v>272</v>
      </c>
      <c r="D121" s="25" t="b">
        <f aca="false">TRUE()</f>
        <v>1</v>
      </c>
    </row>
    <row r="122" customFormat="false" ht="15" hidden="false" customHeight="true" outlineLevel="0" collapsed="false">
      <c r="A122" s="24" t="s">
        <v>273</v>
      </c>
      <c r="B122" s="24"/>
      <c r="C122" s="24" t="s">
        <v>274</v>
      </c>
      <c r="D122" s="25" t="b">
        <f aca="false">TRUE()</f>
        <v>1</v>
      </c>
    </row>
    <row r="123" customFormat="false" ht="15" hidden="false" customHeight="true" outlineLevel="0" collapsed="false">
      <c r="A123" s="24" t="s">
        <v>275</v>
      </c>
      <c r="B123" s="24"/>
      <c r="C123" s="24" t="s">
        <v>276</v>
      </c>
      <c r="D123" s="25" t="b">
        <f aca="false">TRUE()</f>
        <v>1</v>
      </c>
    </row>
    <row r="124" customFormat="false" ht="15" hidden="false" customHeight="true" outlineLevel="0" collapsed="false">
      <c r="A124" s="24" t="s">
        <v>277</v>
      </c>
      <c r="B124" s="24"/>
      <c r="C124" s="24" t="s">
        <v>278</v>
      </c>
      <c r="D124" s="25" t="b">
        <f aca="false">FALSE()</f>
        <v>0</v>
      </c>
    </row>
    <row r="125" customFormat="false" ht="15" hidden="false" customHeight="true" outlineLevel="0" collapsed="false">
      <c r="A125" s="24" t="s">
        <v>279</v>
      </c>
      <c r="B125" s="24"/>
      <c r="C125" s="24" t="s">
        <v>278</v>
      </c>
      <c r="D125" s="25" t="b">
        <f aca="false">TRUE()</f>
        <v>1</v>
      </c>
    </row>
    <row r="126" customFormat="false" ht="15" hidden="false" customHeight="true" outlineLevel="0" collapsed="false">
      <c r="A126" s="24" t="s">
        <v>280</v>
      </c>
      <c r="B126" s="24"/>
      <c r="C126" s="24" t="s">
        <v>278</v>
      </c>
      <c r="D126" s="25" t="b">
        <f aca="false">FALSE()</f>
        <v>0</v>
      </c>
    </row>
    <row r="127" customFormat="false" ht="15" hidden="false" customHeight="true" outlineLevel="0" collapsed="false">
      <c r="A127" s="24" t="s">
        <v>281</v>
      </c>
      <c r="B127" s="24"/>
      <c r="C127" s="24" t="s">
        <v>174</v>
      </c>
      <c r="D127" s="25" t="b">
        <f aca="false">FALSE()</f>
        <v>0</v>
      </c>
    </row>
    <row r="128" customFormat="false" ht="15" hidden="false" customHeight="true" outlineLevel="0" collapsed="false">
      <c r="A128" s="24" t="s">
        <v>282</v>
      </c>
      <c r="B128" s="24"/>
      <c r="C128" s="24" t="s">
        <v>174</v>
      </c>
      <c r="D128" s="25" t="b">
        <f aca="false">TRUE()</f>
        <v>1</v>
      </c>
    </row>
    <row r="129" customFormat="false" ht="15" hidden="false" customHeight="true" outlineLevel="0" collapsed="false">
      <c r="A129" s="24" t="s">
        <v>283</v>
      </c>
      <c r="B129" s="24"/>
      <c r="C129" s="24" t="s">
        <v>284</v>
      </c>
      <c r="D129" s="25" t="b">
        <f aca="false">TRUE()</f>
        <v>1</v>
      </c>
    </row>
    <row r="130" customFormat="false" ht="15" hidden="false" customHeight="true" outlineLevel="0" collapsed="false">
      <c r="A130" s="24" t="s">
        <v>285</v>
      </c>
      <c r="B130" s="24" t="s">
        <v>286</v>
      </c>
      <c r="C130" s="24" t="s">
        <v>287</v>
      </c>
      <c r="D130" s="24"/>
    </row>
    <row r="131" customFormat="false" ht="15" hidden="false" customHeight="true" outlineLevel="0" collapsed="false">
      <c r="A131" s="24" t="s">
        <v>288</v>
      </c>
      <c r="B131" s="24"/>
      <c r="C131" s="24" t="s">
        <v>287</v>
      </c>
      <c r="D131" s="25" t="b">
        <f aca="false">FALSE()</f>
        <v>0</v>
      </c>
    </row>
    <row r="132" customFormat="false" ht="15" hidden="false" customHeight="true" outlineLevel="0" collapsed="false">
      <c r="A132" s="24" t="s">
        <v>289</v>
      </c>
      <c r="B132" s="24"/>
      <c r="C132" s="24" t="s">
        <v>287</v>
      </c>
      <c r="D132" s="25" t="b">
        <f aca="false">FALSE()</f>
        <v>0</v>
      </c>
    </row>
    <row r="133" customFormat="false" ht="15" hidden="false" customHeight="true" outlineLevel="0" collapsed="false">
      <c r="A133" s="24" t="s">
        <v>290</v>
      </c>
      <c r="B133" s="24" t="s">
        <v>286</v>
      </c>
      <c r="C133" s="24" t="s">
        <v>287</v>
      </c>
      <c r="D133" s="24"/>
    </row>
    <row r="134" customFormat="false" ht="15" hidden="false" customHeight="true" outlineLevel="0" collapsed="false">
      <c r="A134" s="24" t="s">
        <v>291</v>
      </c>
      <c r="C134" s="24" t="s">
        <v>287</v>
      </c>
      <c r="D134" s="25" t="b">
        <f aca="false">TRUE()</f>
        <v>1</v>
      </c>
    </row>
    <row r="135" customFormat="false" ht="15" hidden="false" customHeight="true" outlineLevel="0" collapsed="false">
      <c r="A135" s="24" t="s">
        <v>292</v>
      </c>
      <c r="B135" s="24" t="s">
        <v>286</v>
      </c>
      <c r="C135" s="24" t="s">
        <v>287</v>
      </c>
      <c r="D135" s="25" t="b">
        <f aca="false">FALSE()</f>
        <v>0</v>
      </c>
    </row>
    <row r="136" customFormat="false" ht="15" hidden="false" customHeight="true" outlineLevel="0" collapsed="false">
      <c r="A136" s="24" t="s">
        <v>293</v>
      </c>
      <c r="B136" s="24"/>
      <c r="C136" s="24" t="s">
        <v>287</v>
      </c>
      <c r="D136" s="25" t="b">
        <f aca="false">FALSE()</f>
        <v>0</v>
      </c>
    </row>
    <row r="137" customFormat="false" ht="15" hidden="false" customHeight="true" outlineLevel="0" collapsed="false">
      <c r="A137" s="24" t="s">
        <v>294</v>
      </c>
      <c r="B137" s="24"/>
      <c r="C137" s="24" t="s">
        <v>295</v>
      </c>
      <c r="D137" s="25" t="b">
        <f aca="false">TRUE()</f>
        <v>1</v>
      </c>
    </row>
    <row r="138" customFormat="false" ht="15" hidden="false" customHeight="true" outlineLevel="0" collapsed="false">
      <c r="A138" s="24" t="s">
        <v>296</v>
      </c>
      <c r="B138" s="24"/>
      <c r="C138" s="24" t="s">
        <v>297</v>
      </c>
      <c r="D138" s="25" t="b">
        <f aca="false">TRUE()</f>
        <v>1</v>
      </c>
    </row>
    <row r="139" customFormat="false" ht="15" hidden="false" customHeight="true" outlineLevel="0" collapsed="false">
      <c r="A139" s="24" t="s">
        <v>298</v>
      </c>
      <c r="B139" s="24" t="s">
        <v>299</v>
      </c>
      <c r="C139" s="24" t="s">
        <v>300</v>
      </c>
      <c r="D139" s="25" t="b">
        <f aca="false">FALSE()</f>
        <v>0</v>
      </c>
    </row>
    <row r="140" customFormat="false" ht="15" hidden="false" customHeight="true" outlineLevel="0" collapsed="false">
      <c r="A140" s="24" t="s">
        <v>301</v>
      </c>
      <c r="B140" s="24" t="s">
        <v>302</v>
      </c>
      <c r="C140" s="24" t="s">
        <v>300</v>
      </c>
      <c r="D140" s="25" t="b">
        <f aca="false">FALSE()</f>
        <v>0</v>
      </c>
    </row>
    <row r="141" customFormat="false" ht="15" hidden="false" customHeight="true" outlineLevel="0" collapsed="false">
      <c r="A141" s="24" t="s">
        <v>303</v>
      </c>
      <c r="B141" s="24" t="s">
        <v>304</v>
      </c>
      <c r="C141" s="24" t="s">
        <v>300</v>
      </c>
      <c r="D141" s="25" t="b">
        <f aca="false">FALSE()</f>
        <v>0</v>
      </c>
    </row>
    <row r="142" customFormat="false" ht="15" hidden="false" customHeight="true" outlineLevel="0" collapsed="false">
      <c r="A142" s="24" t="s">
        <v>305</v>
      </c>
      <c r="B142" s="24" t="s">
        <v>306</v>
      </c>
      <c r="C142" s="24" t="s">
        <v>300</v>
      </c>
      <c r="D142" s="25" t="b">
        <f aca="false">FALSE()</f>
        <v>0</v>
      </c>
    </row>
    <row r="143" customFormat="false" ht="15" hidden="false" customHeight="true" outlineLevel="0" collapsed="false">
      <c r="A143" s="24" t="s">
        <v>307</v>
      </c>
      <c r="B143" s="24"/>
      <c r="C143" s="24" t="s">
        <v>300</v>
      </c>
      <c r="D143" s="25" t="b">
        <f aca="false">TRUE()</f>
        <v>1</v>
      </c>
    </row>
    <row r="144" customFormat="false" ht="15" hidden="false" customHeight="true" outlineLevel="0" collapsed="false">
      <c r="A144" s="24" t="s">
        <v>308</v>
      </c>
      <c r="B144" s="24"/>
      <c r="C144" s="24" t="s">
        <v>309</v>
      </c>
      <c r="D144" s="25" t="b">
        <f aca="false">TRUE()</f>
        <v>1</v>
      </c>
    </row>
    <row r="145" customFormat="false" ht="15" hidden="false" customHeight="true" outlineLevel="0" collapsed="false">
      <c r="A145" s="24" t="s">
        <v>310</v>
      </c>
      <c r="B145" s="24"/>
      <c r="C145" s="24" t="s">
        <v>311</v>
      </c>
      <c r="D145" s="29" t="b">
        <f aca="false">FALSE()</f>
        <v>0</v>
      </c>
    </row>
    <row r="146" customFormat="false" ht="15" hidden="false" customHeight="true" outlineLevel="0" collapsed="false">
      <c r="A146" s="24" t="s">
        <v>312</v>
      </c>
      <c r="B146" s="24"/>
      <c r="C146" s="24" t="s">
        <v>311</v>
      </c>
      <c r="D146" s="29" t="b">
        <f aca="false">TRUE()</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2.75" zeroHeight="false" outlineLevelRow="0" outlineLevelCol="0"/>
  <cols>
    <col collapsed="false" customWidth="true" hidden="false" outlineLevel="0" max="1025" min="1" style="0" width="11.39"/>
  </cols>
  <sheetData>
    <row r="1" customFormat="false" ht="15" hidden="false" customHeight="true" outlineLevel="0" collapsed="false">
      <c r="A1" s="23" t="s">
        <v>313</v>
      </c>
      <c r="B1" s="23" t="s">
        <v>314</v>
      </c>
      <c r="C1" s="23" t="s">
        <v>315</v>
      </c>
      <c r="D1" s="23" t="s">
        <v>316</v>
      </c>
      <c r="E1" s="23"/>
    </row>
    <row r="2" customFormat="false" ht="15" hidden="false" customHeight="true" outlineLevel="0" collapsed="false">
      <c r="A2" s="24" t="s">
        <v>121</v>
      </c>
      <c r="B2" s="24" t="s">
        <v>317</v>
      </c>
      <c r="C2" s="24" t="n">
        <v>27</v>
      </c>
      <c r="D2" s="24" t="s">
        <v>318</v>
      </c>
    </row>
    <row r="3" customFormat="false" ht="15" hidden="false" customHeight="true" outlineLevel="0" collapsed="false">
      <c r="A3" s="24" t="s">
        <v>123</v>
      </c>
      <c r="B3" s="24" t="s">
        <v>319</v>
      </c>
      <c r="C3" s="24" t="n">
        <v>3</v>
      </c>
      <c r="D3" s="24" t="s">
        <v>320</v>
      </c>
    </row>
    <row r="4" customFormat="false" ht="15" hidden="false" customHeight="true" outlineLevel="0" collapsed="false">
      <c r="A4" s="24" t="s">
        <v>125</v>
      </c>
      <c r="B4" s="24" t="s">
        <v>321</v>
      </c>
      <c r="C4" s="24" t="n">
        <v>25</v>
      </c>
      <c r="D4" s="24" t="s">
        <v>322</v>
      </c>
    </row>
    <row r="5" customFormat="false" ht="15" hidden="false" customHeight="true" outlineLevel="0" collapsed="false">
      <c r="A5" s="24" t="s">
        <v>127</v>
      </c>
      <c r="B5" s="24" t="s">
        <v>323</v>
      </c>
      <c r="C5" s="24" t="n">
        <v>14</v>
      </c>
      <c r="D5" s="24" t="s">
        <v>324</v>
      </c>
    </row>
    <row r="6" customFormat="false" ht="15" hidden="false" customHeight="true" outlineLevel="0" collapsed="false">
      <c r="A6" s="24" t="s">
        <v>133</v>
      </c>
      <c r="B6" s="24" t="s">
        <v>325</v>
      </c>
      <c r="C6" s="24" t="n">
        <v>35</v>
      </c>
      <c r="D6" s="24" t="s">
        <v>326</v>
      </c>
    </row>
    <row r="7" customFormat="false" ht="15" hidden="false" customHeight="true" outlineLevel="0" collapsed="false">
      <c r="A7" s="24" t="s">
        <v>135</v>
      </c>
      <c r="B7" s="24" t="s">
        <v>327</v>
      </c>
      <c r="C7" s="24" t="n">
        <v>10</v>
      </c>
      <c r="D7" s="24" t="s">
        <v>328</v>
      </c>
    </row>
    <row r="8" customFormat="false" ht="15" hidden="false" customHeight="true" outlineLevel="0" collapsed="false">
      <c r="A8" s="24" t="s">
        <v>139</v>
      </c>
      <c r="B8" s="24" t="s">
        <v>329</v>
      </c>
      <c r="C8" s="24" t="n">
        <v>11</v>
      </c>
      <c r="D8" s="24" t="s">
        <v>330</v>
      </c>
    </row>
    <row r="9" customFormat="false" ht="15" hidden="false" customHeight="true" outlineLevel="0" collapsed="false">
      <c r="A9" s="24" t="s">
        <v>150</v>
      </c>
      <c r="B9" s="24" t="s">
        <v>331</v>
      </c>
      <c r="C9" s="24" t="n">
        <v>12</v>
      </c>
      <c r="D9" s="24" t="s">
        <v>332</v>
      </c>
    </row>
    <row r="10" customFormat="false" ht="15" hidden="false" customHeight="true" outlineLevel="0" collapsed="false">
      <c r="A10" s="24" t="s">
        <v>155</v>
      </c>
      <c r="B10" s="24" t="s">
        <v>333</v>
      </c>
      <c r="C10" s="24" t="n">
        <v>42</v>
      </c>
      <c r="D10" s="24" t="s">
        <v>334</v>
      </c>
    </row>
    <row r="11" customFormat="false" ht="15" hidden="false" customHeight="true" outlineLevel="0" collapsed="false">
      <c r="A11" s="24" t="s">
        <v>157</v>
      </c>
      <c r="B11" s="24" t="s">
        <v>335</v>
      </c>
      <c r="C11" s="24" t="n">
        <v>5</v>
      </c>
      <c r="D11" s="24" t="s">
        <v>336</v>
      </c>
    </row>
    <row r="12" customFormat="false" ht="15" hidden="false" customHeight="true" outlineLevel="0" collapsed="false">
      <c r="A12" s="24" t="s">
        <v>161</v>
      </c>
      <c r="B12" s="24" t="s">
        <v>337</v>
      </c>
      <c r="C12" s="24" t="n">
        <v>39</v>
      </c>
      <c r="D12" s="24" t="s">
        <v>338</v>
      </c>
    </row>
    <row r="13" customFormat="false" ht="15" hidden="false" customHeight="true" outlineLevel="0" collapsed="false">
      <c r="A13" s="24" t="s">
        <v>163</v>
      </c>
      <c r="B13" s="24" t="s">
        <v>339</v>
      </c>
      <c r="C13" s="24" t="n">
        <v>19</v>
      </c>
      <c r="D13" s="24" t="s">
        <v>340</v>
      </c>
    </row>
    <row r="14" customFormat="false" ht="15" hidden="false" customHeight="true" outlineLevel="0" collapsed="false">
      <c r="A14" s="24" t="s">
        <v>181</v>
      </c>
      <c r="B14" s="24" t="s">
        <v>341</v>
      </c>
      <c r="C14" s="24" t="n">
        <v>4</v>
      </c>
      <c r="D14" s="24" t="s">
        <v>342</v>
      </c>
    </row>
    <row r="15" customFormat="false" ht="15" hidden="false" customHeight="true" outlineLevel="0" collapsed="false">
      <c r="A15" s="24" t="s">
        <v>184</v>
      </c>
      <c r="B15" s="24" t="s">
        <v>343</v>
      </c>
      <c r="C15" s="24" t="n">
        <v>18</v>
      </c>
      <c r="D15" s="24" t="s">
        <v>344</v>
      </c>
    </row>
    <row r="16" customFormat="false" ht="15" hidden="false" customHeight="true" outlineLevel="0" collapsed="false">
      <c r="A16" s="24" t="s">
        <v>196</v>
      </c>
      <c r="B16" s="24" t="s">
        <v>345</v>
      </c>
      <c r="C16" s="24" t="n">
        <v>17</v>
      </c>
      <c r="D16" s="24" t="s">
        <v>346</v>
      </c>
    </row>
    <row r="17" customFormat="false" ht="15" hidden="false" customHeight="true" outlineLevel="0" collapsed="false">
      <c r="A17" s="24" t="s">
        <v>212</v>
      </c>
      <c r="B17" s="24" t="s">
        <v>347</v>
      </c>
      <c r="C17" s="24" t="n">
        <v>28</v>
      </c>
      <c r="D17" s="24" t="s">
        <v>348</v>
      </c>
    </row>
    <row r="18" customFormat="false" ht="15" hidden="false" customHeight="true" outlineLevel="0" collapsed="false">
      <c r="A18" s="24" t="s">
        <v>218</v>
      </c>
      <c r="B18" s="24" t="s">
        <v>349</v>
      </c>
      <c r="C18" s="24" t="n">
        <v>24</v>
      </c>
      <c r="D18" s="24" t="s">
        <v>350</v>
      </c>
    </row>
    <row r="19" customFormat="false" ht="15" hidden="false" customHeight="true" outlineLevel="0" collapsed="false">
      <c r="A19" s="24" t="s">
        <v>220</v>
      </c>
      <c r="B19" s="24" t="s">
        <v>351</v>
      </c>
      <c r="C19" s="24" t="n">
        <v>16</v>
      </c>
      <c r="D19" s="24" t="s">
        <v>352</v>
      </c>
    </row>
    <row r="20" customFormat="false" ht="15" hidden="false" customHeight="true" outlineLevel="0" collapsed="false">
      <c r="A20" s="24" t="s">
        <v>228</v>
      </c>
      <c r="B20" s="24" t="s">
        <v>353</v>
      </c>
      <c r="C20" s="24" t="n">
        <v>38</v>
      </c>
      <c r="D20" s="24" t="s">
        <v>354</v>
      </c>
    </row>
    <row r="21" customFormat="false" ht="15" hidden="false" customHeight="true" outlineLevel="0" collapsed="false">
      <c r="A21" s="24" t="s">
        <v>231</v>
      </c>
      <c r="B21" s="24" t="s">
        <v>230</v>
      </c>
      <c r="C21" s="24" t="n">
        <v>0</v>
      </c>
      <c r="D21" s="24" t="s">
        <v>355</v>
      </c>
    </row>
    <row r="22" customFormat="false" ht="15" hidden="false" customHeight="true" outlineLevel="0" collapsed="false">
      <c r="A22" s="24" t="s">
        <v>233</v>
      </c>
      <c r="B22" s="24" t="s">
        <v>356</v>
      </c>
      <c r="C22" s="24" t="n">
        <v>21</v>
      </c>
      <c r="D22" s="24" t="s">
        <v>357</v>
      </c>
    </row>
    <row r="23" customFormat="false" ht="15" hidden="false" customHeight="true" outlineLevel="0" collapsed="false">
      <c r="A23" s="24" t="s">
        <v>255</v>
      </c>
      <c r="B23" s="24" t="s">
        <v>358</v>
      </c>
      <c r="C23" s="24" t="n">
        <v>37</v>
      </c>
      <c r="D23" s="24" t="s">
        <v>359</v>
      </c>
    </row>
    <row r="24" customFormat="false" ht="15" hidden="false" customHeight="true" outlineLevel="0" collapsed="false">
      <c r="A24" s="24" t="s">
        <v>257</v>
      </c>
      <c r="B24" s="24" t="s">
        <v>360</v>
      </c>
      <c r="C24" s="24" t="n">
        <v>7</v>
      </c>
      <c r="D24" s="24" t="s">
        <v>361</v>
      </c>
    </row>
    <row r="25" customFormat="false" ht="15" hidden="false" customHeight="true" outlineLevel="0" collapsed="false">
      <c r="A25" s="24" t="s">
        <v>260</v>
      </c>
      <c r="B25" s="24" t="s">
        <v>362</v>
      </c>
      <c r="C25" s="24" t="n">
        <v>15</v>
      </c>
      <c r="D25" s="24" t="s">
        <v>363</v>
      </c>
    </row>
    <row r="26" customFormat="false" ht="15" hidden="false" customHeight="true" outlineLevel="0" collapsed="false">
      <c r="A26" s="24" t="s">
        <v>263</v>
      </c>
      <c r="B26" s="24" t="s">
        <v>364</v>
      </c>
      <c r="C26" s="24" t="n">
        <v>6</v>
      </c>
      <c r="D26" s="24" t="s">
        <v>365</v>
      </c>
    </row>
    <row r="27" customFormat="false" ht="15" hidden="false" customHeight="true" outlineLevel="0" collapsed="false">
      <c r="A27" s="24" t="s">
        <v>266</v>
      </c>
      <c r="B27" s="24" t="s">
        <v>366</v>
      </c>
      <c r="C27" s="24" t="n">
        <v>40</v>
      </c>
      <c r="D27" s="24" t="s">
        <v>367</v>
      </c>
    </row>
    <row r="28" customFormat="false" ht="15" hidden="false" customHeight="true" outlineLevel="0" collapsed="false">
      <c r="A28" s="24" t="s">
        <v>268</v>
      </c>
      <c r="B28" s="24" t="s">
        <v>368</v>
      </c>
      <c r="C28" s="24" t="n">
        <v>43</v>
      </c>
      <c r="D28" s="24" t="s">
        <v>369</v>
      </c>
    </row>
    <row r="29" customFormat="false" ht="15" hidden="false" customHeight="true" outlineLevel="0" collapsed="false">
      <c r="A29" s="24" t="s">
        <v>270</v>
      </c>
      <c r="B29" s="24" t="s">
        <v>370</v>
      </c>
      <c r="C29" s="24" t="n">
        <v>26</v>
      </c>
      <c r="D29" s="24" t="s">
        <v>371</v>
      </c>
    </row>
    <row r="30" customFormat="false" ht="15" hidden="false" customHeight="true" outlineLevel="0" collapsed="false">
      <c r="A30" s="24" t="s">
        <v>272</v>
      </c>
      <c r="B30" s="24" t="s">
        <v>372</v>
      </c>
      <c r="C30" s="24" t="n">
        <v>22</v>
      </c>
      <c r="D30" s="24" t="s">
        <v>373</v>
      </c>
    </row>
    <row r="31" customFormat="false" ht="15" hidden="false" customHeight="true" outlineLevel="0" collapsed="false">
      <c r="A31" s="24" t="s">
        <v>274</v>
      </c>
      <c r="B31" s="24" t="s">
        <v>374</v>
      </c>
      <c r="C31" s="24" t="n">
        <v>13</v>
      </c>
      <c r="D31" s="24" t="s">
        <v>375</v>
      </c>
    </row>
    <row r="32" customFormat="false" ht="15" hidden="false" customHeight="true" outlineLevel="0" collapsed="false">
      <c r="A32" s="24" t="s">
        <v>276</v>
      </c>
      <c r="B32" s="24" t="s">
        <v>376</v>
      </c>
      <c r="C32" s="24" t="n">
        <v>1</v>
      </c>
      <c r="D32" s="24" t="s">
        <v>377</v>
      </c>
    </row>
    <row r="33" customFormat="false" ht="15" hidden="false" customHeight="true" outlineLevel="0" collapsed="false">
      <c r="A33" s="24" t="s">
        <v>278</v>
      </c>
      <c r="B33" s="24" t="s">
        <v>378</v>
      </c>
      <c r="C33" s="24" t="n">
        <v>9</v>
      </c>
      <c r="D33" s="24" t="s">
        <v>379</v>
      </c>
    </row>
    <row r="34" customFormat="false" ht="15" hidden="false" customHeight="true" outlineLevel="0" collapsed="false">
      <c r="A34" s="24" t="s">
        <v>174</v>
      </c>
      <c r="B34" s="24" t="s">
        <v>380</v>
      </c>
      <c r="C34" s="24" t="n">
        <v>20</v>
      </c>
      <c r="D34" s="24" t="s">
        <v>381</v>
      </c>
    </row>
    <row r="35" customFormat="false" ht="15" hidden="false" customHeight="true" outlineLevel="0" collapsed="false">
      <c r="A35" s="24" t="s">
        <v>284</v>
      </c>
      <c r="B35" s="24" t="s">
        <v>382</v>
      </c>
      <c r="C35" s="24" t="n">
        <v>8</v>
      </c>
      <c r="D35" s="24" t="s">
        <v>383</v>
      </c>
    </row>
    <row r="36" customFormat="false" ht="15" hidden="false" customHeight="true" outlineLevel="0" collapsed="false">
      <c r="A36" s="24" t="s">
        <v>287</v>
      </c>
      <c r="B36" s="24" t="s">
        <v>384</v>
      </c>
      <c r="C36" s="24" t="n">
        <v>2</v>
      </c>
      <c r="D36" s="24" t="s">
        <v>385</v>
      </c>
    </row>
    <row r="37" customFormat="false" ht="15" hidden="false" customHeight="true" outlineLevel="0" collapsed="false">
      <c r="A37" s="24" t="s">
        <v>295</v>
      </c>
      <c r="B37" s="24" t="s">
        <v>386</v>
      </c>
      <c r="C37" s="24" t="n">
        <v>23</v>
      </c>
      <c r="D37" s="24" t="s">
        <v>387</v>
      </c>
    </row>
    <row r="38" customFormat="false" ht="15" hidden="false" customHeight="true" outlineLevel="0" collapsed="false">
      <c r="A38" s="24" t="s">
        <v>297</v>
      </c>
      <c r="B38" s="24" t="s">
        <v>388</v>
      </c>
      <c r="C38" s="24" t="n">
        <v>36</v>
      </c>
      <c r="D38" s="24" t="s">
        <v>389</v>
      </c>
    </row>
    <row r="39" customFormat="false" ht="15" hidden="false" customHeight="true" outlineLevel="0" collapsed="false">
      <c r="A39" s="24" t="s">
        <v>300</v>
      </c>
      <c r="B39" s="24" t="s">
        <v>390</v>
      </c>
      <c r="C39" s="24" t="n">
        <v>41</v>
      </c>
      <c r="D39" s="24" t="s">
        <v>391</v>
      </c>
    </row>
    <row r="40" customFormat="false" ht="15" hidden="false" customHeight="true" outlineLevel="0" collapsed="false">
      <c r="A40" s="24" t="s">
        <v>309</v>
      </c>
      <c r="B40" s="24" t="s">
        <v>392</v>
      </c>
      <c r="C40" s="24" t="n">
        <v>34</v>
      </c>
      <c r="D40" s="24" t="s">
        <v>393</v>
      </c>
    </row>
    <row r="41" customFormat="false" ht="12.75" hidden="false" customHeight="false" outlineLevel="0" collapsed="false">
      <c r="A41" s="0" t="s">
        <v>311</v>
      </c>
      <c r="B41" s="0" t="s">
        <v>394</v>
      </c>
      <c r="C41" s="0" t="n">
        <v>46</v>
      </c>
      <c r="D41" s="0" t="s">
        <v>395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34" activeCellId="0" sqref="J34"/>
    </sheetView>
  </sheetViews>
  <sheetFormatPr defaultColWidth="10.6796875" defaultRowHeight="12.75" zeroHeight="false" outlineLevelRow="0" outlineLevelCol="0"/>
  <cols>
    <col collapsed="false" customWidth="true" hidden="false" outlineLevel="0" max="2" min="2" style="0" width="20.59"/>
    <col collapsed="false" customWidth="true" hidden="false" outlineLevel="0" max="3" min="3" style="0" width="32.73"/>
  </cols>
  <sheetData>
    <row r="1" customFormat="false" ht="14.25" hidden="false" customHeight="true" outlineLevel="0" collapsed="false">
      <c r="A1" s="26" t="s">
        <v>396</v>
      </c>
      <c r="B1" s="26" t="s">
        <v>397</v>
      </c>
      <c r="C1" s="26" t="s">
        <v>398</v>
      </c>
      <c r="D1" s="26" t="s">
        <v>399</v>
      </c>
      <c r="E1" s="26" t="s">
        <v>400</v>
      </c>
      <c r="F1" s="26" t="s">
        <v>401</v>
      </c>
      <c r="G1" s="26" t="s">
        <v>402</v>
      </c>
      <c r="H1" s="26" t="s">
        <v>403</v>
      </c>
      <c r="I1" s="26" t="s">
        <v>404</v>
      </c>
      <c r="J1" s="26" t="s">
        <v>405</v>
      </c>
    </row>
    <row r="2" customFormat="false" ht="12.75" hidden="false" customHeight="false" outlineLevel="0" collapsed="false">
      <c r="A2" s="15" t="n">
        <v>1</v>
      </c>
      <c r="B2" s="15" t="s">
        <v>40</v>
      </c>
      <c r="C2" s="15"/>
      <c r="D2" s="15" t="s">
        <v>406</v>
      </c>
      <c r="E2" s="15" t="s">
        <v>407</v>
      </c>
      <c r="F2" s="15"/>
      <c r="G2" s="15" t="s">
        <v>408</v>
      </c>
      <c r="H2" s="15" t="s">
        <v>409</v>
      </c>
      <c r="I2" s="15" t="n">
        <v>50</v>
      </c>
      <c r="J2" s="15" t="n">
        <v>1500</v>
      </c>
    </row>
    <row r="3" customFormat="false" ht="12.75" hidden="false" customHeight="false" outlineLevel="0" collapsed="false">
      <c r="A3" s="15" t="n">
        <v>2</v>
      </c>
      <c r="B3" s="15" t="s">
        <v>42</v>
      </c>
      <c r="C3" s="15"/>
      <c r="D3" s="15" t="s">
        <v>410</v>
      </c>
      <c r="E3" s="15" t="s">
        <v>407</v>
      </c>
      <c r="F3" s="15"/>
      <c r="G3" s="15" t="s">
        <v>411</v>
      </c>
      <c r="H3" s="15" t="s">
        <v>409</v>
      </c>
      <c r="I3" s="15" t="n">
        <v>0.1</v>
      </c>
      <c r="J3" s="15" t="n">
        <v>3000</v>
      </c>
    </row>
    <row r="4" customFormat="false" ht="12.75" hidden="false" customHeight="false" outlineLevel="0" collapsed="false">
      <c r="A4" s="15" t="n">
        <v>3</v>
      </c>
      <c r="B4" s="15" t="s">
        <v>44</v>
      </c>
      <c r="C4" s="15"/>
      <c r="D4" s="15" t="s">
        <v>412</v>
      </c>
      <c r="E4" s="15" t="s">
        <v>407</v>
      </c>
      <c r="F4" s="15"/>
      <c r="G4" s="15" t="s">
        <v>413</v>
      </c>
      <c r="H4" s="15" t="s">
        <v>409</v>
      </c>
      <c r="I4" s="15" t="n">
        <v>0</v>
      </c>
      <c r="J4" s="15" t="n">
        <v>75</v>
      </c>
    </row>
    <row r="5" customFormat="false" ht="12.75" hidden="false" customHeight="false" outlineLevel="0" collapsed="false">
      <c r="A5" s="15" t="n">
        <v>4</v>
      </c>
      <c r="B5" s="15" t="s">
        <v>102</v>
      </c>
      <c r="C5" s="15"/>
      <c r="D5" s="15" t="s">
        <v>103</v>
      </c>
      <c r="E5" s="15" t="s">
        <v>407</v>
      </c>
      <c r="F5" s="15"/>
      <c r="G5" s="15" t="s">
        <v>408</v>
      </c>
      <c r="H5" s="15" t="s">
        <v>414</v>
      </c>
      <c r="I5" s="15" t="n">
        <v>1</v>
      </c>
      <c r="J5" s="15" t="n">
        <v>15</v>
      </c>
    </row>
    <row r="6" customFormat="false" ht="12.75" hidden="false" customHeight="false" outlineLevel="0" collapsed="false">
      <c r="A6" s="15" t="n">
        <v>5</v>
      </c>
      <c r="B6" s="15" t="s">
        <v>104</v>
      </c>
      <c r="C6" s="15"/>
      <c r="D6" s="15" t="s">
        <v>105</v>
      </c>
      <c r="E6" s="15" t="s">
        <v>407</v>
      </c>
      <c r="F6" s="15"/>
      <c r="G6" s="15" t="s">
        <v>408</v>
      </c>
      <c r="H6" s="15" t="s">
        <v>414</v>
      </c>
      <c r="I6" s="15" t="n">
        <v>3</v>
      </c>
      <c r="J6" s="15" t="n">
        <v>54</v>
      </c>
    </row>
    <row r="7" customFormat="false" ht="12.75" hidden="false" customHeight="false" outlineLevel="0" collapsed="false">
      <c r="A7" s="0" t="n">
        <v>6</v>
      </c>
      <c r="B7" s="0" t="s">
        <v>46</v>
      </c>
      <c r="C7" s="0" t="s">
        <v>97</v>
      </c>
      <c r="D7" s="0" t="s">
        <v>415</v>
      </c>
      <c r="E7" s="0" t="s">
        <v>407</v>
      </c>
      <c r="F7" s="0" t="s">
        <v>416</v>
      </c>
      <c r="G7" s="0" t="s">
        <v>417</v>
      </c>
      <c r="H7" s="0" t="s">
        <v>409</v>
      </c>
      <c r="I7" s="0" t="n">
        <v>0</v>
      </c>
      <c r="J7" s="0" t="n">
        <v>1</v>
      </c>
    </row>
    <row r="8" customFormat="false" ht="12.75" hidden="false" customHeight="false" outlineLevel="0" collapsed="false">
      <c r="A8" s="15" t="n">
        <v>7</v>
      </c>
      <c r="B8" s="15" t="s">
        <v>50</v>
      </c>
      <c r="C8" s="15" t="s">
        <v>100</v>
      </c>
      <c r="D8" s="15" t="s">
        <v>418</v>
      </c>
      <c r="E8" s="15" t="s">
        <v>407</v>
      </c>
      <c r="F8" s="15"/>
      <c r="G8" s="15" t="s">
        <v>417</v>
      </c>
      <c r="H8" s="15" t="s">
        <v>409</v>
      </c>
      <c r="I8" s="15" t="n">
        <v>0</v>
      </c>
      <c r="J8" s="15" t="n">
        <v>1</v>
      </c>
    </row>
    <row r="9" customFormat="false" ht="12.75" hidden="false" customHeight="true" outlineLevel="0" collapsed="false">
      <c r="A9" s="15" t="n">
        <v>8</v>
      </c>
      <c r="B9" s="15" t="s">
        <v>419</v>
      </c>
      <c r="C9" s="15" t="s">
        <v>106</v>
      </c>
      <c r="D9" s="15" t="s">
        <v>420</v>
      </c>
      <c r="E9" s="15" t="s">
        <v>421</v>
      </c>
      <c r="F9" s="15" t="s">
        <v>422</v>
      </c>
      <c r="G9" s="30" t="s">
        <v>417</v>
      </c>
      <c r="H9" s="15" t="s">
        <v>409</v>
      </c>
      <c r="I9" s="15" t="n">
        <v>0</v>
      </c>
      <c r="J9" s="15" t="n">
        <v>1</v>
      </c>
    </row>
    <row r="10" customFormat="false" ht="14.25" hidden="false" customHeight="true" outlineLevel="0" collapsed="false">
      <c r="A10" s="15" t="n">
        <v>9</v>
      </c>
      <c r="B10" s="15" t="s">
        <v>66</v>
      </c>
      <c r="C10" s="15"/>
      <c r="D10" s="15" t="s">
        <v>423</v>
      </c>
      <c r="E10" s="15" t="s">
        <v>421</v>
      </c>
      <c r="F10" s="15"/>
      <c r="G10" s="15" t="s">
        <v>424</v>
      </c>
      <c r="H10" s="15" t="s">
        <v>409</v>
      </c>
      <c r="I10" s="15" t="n">
        <v>0</v>
      </c>
      <c r="J10" s="15"/>
    </row>
    <row r="11" customFormat="false" ht="12.75" hidden="false" customHeight="false" outlineLevel="0" collapsed="false">
      <c r="A11" s="31" t="n">
        <v>10</v>
      </c>
      <c r="B11" s="31" t="s">
        <v>425</v>
      </c>
      <c r="C11" s="31"/>
      <c r="D11" s="31" t="s">
        <v>426</v>
      </c>
      <c r="E11" s="31" t="s">
        <v>421</v>
      </c>
      <c r="F11" s="31" t="s">
        <v>427</v>
      </c>
      <c r="G11" s="31" t="s">
        <v>428</v>
      </c>
      <c r="H11" s="31" t="s">
        <v>409</v>
      </c>
      <c r="I11" s="31" t="n">
        <v>0</v>
      </c>
      <c r="J11" s="31"/>
      <c r="K11" s="32" t="s">
        <v>429</v>
      </c>
    </row>
    <row r="12" customFormat="false" ht="12.75" hidden="false" customHeight="true" outlineLevel="0" collapsed="false">
      <c r="A12" s="31" t="n">
        <v>11</v>
      </c>
      <c r="B12" s="31" t="s">
        <v>430</v>
      </c>
      <c r="C12" s="31"/>
      <c r="D12" s="33" t="s">
        <v>431</v>
      </c>
      <c r="E12" s="31" t="s">
        <v>421</v>
      </c>
      <c r="F12" s="31" t="s">
        <v>432</v>
      </c>
      <c r="G12" s="31" t="s">
        <v>428</v>
      </c>
      <c r="H12" s="31" t="s">
        <v>409</v>
      </c>
      <c r="I12" s="31" t="n">
        <v>0</v>
      </c>
      <c r="J12" s="31"/>
      <c r="K12" s="32"/>
    </row>
    <row r="13" customFormat="false" ht="14.25" hidden="false" customHeight="true" outlineLevel="0" collapsed="false">
      <c r="A13" s="31" t="n">
        <v>12</v>
      </c>
      <c r="B13" s="31" t="s">
        <v>433</v>
      </c>
      <c r="C13" s="31"/>
      <c r="D13" s="31" t="s">
        <v>434</v>
      </c>
      <c r="E13" s="31" t="s">
        <v>421</v>
      </c>
      <c r="F13" s="31"/>
      <c r="G13" s="31" t="s">
        <v>435</v>
      </c>
      <c r="H13" s="31" t="s">
        <v>409</v>
      </c>
      <c r="I13" s="31" t="n">
        <v>0</v>
      </c>
      <c r="J13" s="31"/>
      <c r="K13" s="32"/>
    </row>
    <row r="14" customFormat="false" ht="13.5" hidden="false" customHeight="true" outlineLevel="0" collapsed="false">
      <c r="A14" s="15" t="n">
        <v>13</v>
      </c>
      <c r="B14" s="15" t="s">
        <v>70</v>
      </c>
      <c r="C14" s="15" t="s">
        <v>109</v>
      </c>
      <c r="D14" s="15" t="s">
        <v>436</v>
      </c>
      <c r="E14" s="15" t="s">
        <v>421</v>
      </c>
      <c r="F14" s="15"/>
      <c r="G14" s="16" t="s">
        <v>417</v>
      </c>
      <c r="H14" s="15" t="s">
        <v>409</v>
      </c>
      <c r="I14" s="15" t="n">
        <v>0</v>
      </c>
      <c r="J14" s="15" t="n">
        <v>1</v>
      </c>
      <c r="K14" s="32"/>
    </row>
    <row r="15" customFormat="false" ht="13.5" hidden="false" customHeight="true" outlineLevel="0" collapsed="false">
      <c r="A15" s="15" t="n">
        <v>14</v>
      </c>
      <c r="B15" s="15" t="s">
        <v>72</v>
      </c>
      <c r="C15" s="15" t="s">
        <v>111</v>
      </c>
      <c r="D15" s="15" t="s">
        <v>437</v>
      </c>
      <c r="E15" s="15" t="s">
        <v>421</v>
      </c>
      <c r="F15" s="15"/>
      <c r="G15" s="30" t="s">
        <v>417</v>
      </c>
      <c r="H15" s="15" t="s">
        <v>409</v>
      </c>
      <c r="I15" s="30" t="n">
        <v>0</v>
      </c>
      <c r="J15" s="30" t="n">
        <v>1</v>
      </c>
      <c r="K15" s="32"/>
    </row>
    <row r="16" customFormat="false" ht="14.25" hidden="false" customHeight="true" outlineLevel="0" collapsed="false">
      <c r="A16" s="31" t="n">
        <v>15</v>
      </c>
      <c r="B16" s="31" t="s">
        <v>438</v>
      </c>
      <c r="C16" s="31"/>
      <c r="D16" s="31" t="s">
        <v>439</v>
      </c>
      <c r="E16" s="31" t="s">
        <v>421</v>
      </c>
      <c r="F16" s="31"/>
      <c r="G16" s="31" t="s">
        <v>435</v>
      </c>
      <c r="H16" s="31" t="s">
        <v>409</v>
      </c>
      <c r="I16" s="34" t="n">
        <v>0</v>
      </c>
      <c r="J16" s="31"/>
      <c r="K16" s="32" t="s">
        <v>429</v>
      </c>
    </row>
    <row r="17" customFormat="false" ht="14.25" hidden="false" customHeight="true" outlineLevel="0" collapsed="false">
      <c r="A17" s="31" t="n">
        <v>16</v>
      </c>
      <c r="B17" s="31" t="s">
        <v>440</v>
      </c>
      <c r="C17" s="31"/>
      <c r="D17" s="31" t="s">
        <v>441</v>
      </c>
      <c r="E17" s="31" t="s">
        <v>421</v>
      </c>
      <c r="F17" s="31"/>
      <c r="G17" s="31" t="s">
        <v>435</v>
      </c>
      <c r="H17" s="31" t="s">
        <v>409</v>
      </c>
      <c r="I17" s="34" t="n">
        <v>0</v>
      </c>
      <c r="J17" s="31"/>
      <c r="K17" s="32" t="s">
        <v>429</v>
      </c>
    </row>
    <row r="18" customFormat="false" ht="14.25" hidden="false" customHeight="true" outlineLevel="0" collapsed="false">
      <c r="A18" s="31" t="n">
        <v>17</v>
      </c>
      <c r="B18" s="31" t="s">
        <v>442</v>
      </c>
      <c r="C18" s="31"/>
      <c r="D18" s="31" t="s">
        <v>443</v>
      </c>
      <c r="E18" s="31" t="s">
        <v>421</v>
      </c>
      <c r="F18" s="31"/>
      <c r="G18" s="34" t="s">
        <v>435</v>
      </c>
      <c r="H18" s="31" t="s">
        <v>409</v>
      </c>
      <c r="I18" s="34" t="n">
        <v>0</v>
      </c>
      <c r="J18" s="31"/>
      <c r="K18" s="32" t="s">
        <v>429</v>
      </c>
    </row>
    <row r="19" customFormat="false" ht="12.75" hidden="false" customHeight="true" outlineLevel="0" collapsed="false">
      <c r="A19" s="15" t="n">
        <v>18</v>
      </c>
      <c r="B19" s="15" t="s">
        <v>58</v>
      </c>
      <c r="C19" s="15"/>
      <c r="D19" s="15" t="s">
        <v>444</v>
      </c>
      <c r="E19" s="15" t="s">
        <v>407</v>
      </c>
      <c r="F19" s="15"/>
      <c r="G19" s="30" t="s">
        <v>408</v>
      </c>
      <c r="H19" s="15" t="s">
        <v>445</v>
      </c>
      <c r="I19" s="15" t="n">
        <v>0</v>
      </c>
      <c r="J19" s="15" t="n">
        <v>600</v>
      </c>
      <c r="K19" s="32"/>
    </row>
    <row r="20" customFormat="false" ht="12.75" hidden="false" customHeight="true" outlineLevel="0" collapsed="false">
      <c r="A20" s="15" t="n">
        <v>19</v>
      </c>
      <c r="B20" s="15" t="s">
        <v>60</v>
      </c>
      <c r="C20" s="15"/>
      <c r="D20" s="15" t="s">
        <v>446</v>
      </c>
      <c r="E20" s="15" t="s">
        <v>407</v>
      </c>
      <c r="F20" s="15"/>
      <c r="G20" s="30" t="s">
        <v>411</v>
      </c>
      <c r="H20" s="15" t="s">
        <v>445</v>
      </c>
      <c r="I20" s="15" t="n">
        <v>0</v>
      </c>
      <c r="J20" s="15" t="n">
        <v>800</v>
      </c>
      <c r="K20" s="32"/>
    </row>
    <row r="21" customFormat="false" ht="12.75" hidden="false" customHeight="false" outlineLevel="0" collapsed="false">
      <c r="A21" s="15" t="n">
        <v>20</v>
      </c>
      <c r="B21" s="15" t="s">
        <v>62</v>
      </c>
      <c r="C21" s="15"/>
      <c r="D21" s="15" t="s">
        <v>447</v>
      </c>
      <c r="E21" s="15" t="s">
        <v>407</v>
      </c>
      <c r="F21" s="15"/>
      <c r="G21" s="15" t="s">
        <v>413</v>
      </c>
      <c r="H21" s="15" t="s">
        <v>445</v>
      </c>
      <c r="I21" s="15" t="n">
        <v>0</v>
      </c>
      <c r="J21" s="15" t="n">
        <v>20</v>
      </c>
      <c r="K21" s="32"/>
    </row>
    <row r="22" customFormat="false" ht="12.75" hidden="false" customHeight="false" outlineLevel="0" collapsed="false">
      <c r="A22" s="15" t="n">
        <v>21</v>
      </c>
      <c r="B22" s="15" t="s">
        <v>52</v>
      </c>
      <c r="C22" s="15"/>
      <c r="D22" s="15" t="s">
        <v>448</v>
      </c>
      <c r="E22" s="15" t="s">
        <v>407</v>
      </c>
      <c r="F22" s="15"/>
      <c r="G22" s="15" t="s">
        <v>408</v>
      </c>
      <c r="H22" s="15" t="s">
        <v>445</v>
      </c>
      <c r="I22" s="15" t="n">
        <v>0</v>
      </c>
      <c r="J22" s="15" t="n">
        <v>1000</v>
      </c>
      <c r="K22" s="32"/>
    </row>
    <row r="23" customFormat="false" ht="12.75" hidden="false" customHeight="false" outlineLevel="0" collapsed="false">
      <c r="A23" s="15" t="n">
        <v>22</v>
      </c>
      <c r="B23" s="15" t="s">
        <v>54</v>
      </c>
      <c r="C23" s="15"/>
      <c r="D23" s="15" t="s">
        <v>449</v>
      </c>
      <c r="E23" s="15" t="s">
        <v>407</v>
      </c>
      <c r="F23" s="15"/>
      <c r="G23" s="15" t="s">
        <v>411</v>
      </c>
      <c r="H23" s="15" t="s">
        <v>445</v>
      </c>
      <c r="I23" s="15" t="n">
        <v>0</v>
      </c>
      <c r="J23" s="15" t="n">
        <v>1500</v>
      </c>
      <c r="K23" s="32"/>
    </row>
    <row r="24" customFormat="false" ht="12.75" hidden="false" customHeight="false" outlineLevel="0" collapsed="false">
      <c r="A24" s="15" t="n">
        <v>23</v>
      </c>
      <c r="B24" s="15" t="s">
        <v>56</v>
      </c>
      <c r="C24" s="15"/>
      <c r="D24" s="15" t="s">
        <v>450</v>
      </c>
      <c r="E24" s="15" t="s">
        <v>407</v>
      </c>
      <c r="F24" s="15"/>
      <c r="G24" s="15" t="s">
        <v>413</v>
      </c>
      <c r="H24" s="15" t="s">
        <v>445</v>
      </c>
      <c r="I24" s="15" t="n">
        <v>0</v>
      </c>
      <c r="J24" s="15" t="n">
        <v>50</v>
      </c>
      <c r="K24" s="32"/>
    </row>
    <row r="25" customFormat="false" ht="12.75" hidden="false" customHeight="false" outlineLevel="0" collapsed="false">
      <c r="A25" s="15" t="n">
        <v>24</v>
      </c>
      <c r="B25" s="15" t="s">
        <v>74</v>
      </c>
      <c r="C25" s="15"/>
      <c r="D25" s="15" t="s">
        <v>451</v>
      </c>
      <c r="E25" s="15" t="s">
        <v>452</v>
      </c>
      <c r="F25" s="15"/>
      <c r="G25" s="15" t="s">
        <v>417</v>
      </c>
      <c r="H25" s="15" t="s">
        <v>445</v>
      </c>
      <c r="I25" s="15" t="n">
        <v>0</v>
      </c>
      <c r="J25" s="15" t="n">
        <v>1</v>
      </c>
      <c r="K25" s="32"/>
    </row>
    <row r="26" customFormat="false" ht="12.75" hidden="false" customHeight="false" outlineLevel="0" collapsed="false">
      <c r="A26" s="15" t="n">
        <v>25</v>
      </c>
      <c r="B26" s="15" t="s">
        <v>76</v>
      </c>
      <c r="C26" s="15"/>
      <c r="D26" s="15" t="s">
        <v>453</v>
      </c>
      <c r="E26" s="15" t="s">
        <v>452</v>
      </c>
      <c r="F26" s="15"/>
      <c r="G26" s="15" t="s">
        <v>417</v>
      </c>
      <c r="H26" s="15" t="s">
        <v>445</v>
      </c>
      <c r="I26" s="15" t="n">
        <v>0</v>
      </c>
      <c r="J26" s="15" t="n">
        <v>1</v>
      </c>
      <c r="K26" s="32"/>
    </row>
    <row r="27" customFormat="false" ht="14.25" hidden="false" customHeight="true" outlineLevel="0" collapsed="false">
      <c r="A27" s="31" t="n">
        <v>26</v>
      </c>
      <c r="B27" s="31" t="s">
        <v>454</v>
      </c>
      <c r="C27" s="31"/>
      <c r="D27" s="31" t="s">
        <v>455</v>
      </c>
      <c r="E27" s="31" t="s">
        <v>421</v>
      </c>
      <c r="F27" s="31"/>
      <c r="G27" s="31" t="s">
        <v>435</v>
      </c>
      <c r="H27" s="31" t="s">
        <v>409</v>
      </c>
      <c r="I27" s="31" t="n">
        <v>0</v>
      </c>
      <c r="J27" s="31"/>
      <c r="K27" s="32" t="s">
        <v>429</v>
      </c>
    </row>
    <row r="28" customFormat="false" ht="12.75" hidden="false" customHeight="false" outlineLevel="0" collapsed="false">
      <c r="A28" s="15" t="n">
        <v>27</v>
      </c>
      <c r="B28" s="15" t="s">
        <v>456</v>
      </c>
      <c r="C28" s="15" t="s">
        <v>457</v>
      </c>
      <c r="D28" s="15" t="s">
        <v>415</v>
      </c>
      <c r="E28" s="15" t="s">
        <v>407</v>
      </c>
      <c r="F28" s="15" t="s">
        <v>458</v>
      </c>
      <c r="G28" s="15" t="s">
        <v>417</v>
      </c>
      <c r="H28" s="15" t="s">
        <v>409</v>
      </c>
      <c r="I28" s="15" t="n">
        <v>0</v>
      </c>
      <c r="J28" s="15" t="n">
        <v>1</v>
      </c>
    </row>
    <row r="29" customFormat="false" ht="35.05" hidden="false" customHeight="false" outlineLevel="0" collapsed="false">
      <c r="A29" s="0" t="n">
        <v>28</v>
      </c>
      <c r="B29" s="35" t="s">
        <v>459</v>
      </c>
      <c r="C29" s="0" t="s">
        <v>68</v>
      </c>
      <c r="D29" s="0" t="s">
        <v>420</v>
      </c>
      <c r="E29" s="0" t="s">
        <v>421</v>
      </c>
      <c r="G29" s="0" t="s">
        <v>417</v>
      </c>
      <c r="H29" s="0" t="s">
        <v>409</v>
      </c>
      <c r="I29" s="0" t="n">
        <v>0</v>
      </c>
      <c r="J29"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2.75" zeroHeight="false" outlineLevelRow="0" outlineLevelCol="0"/>
  <cols>
    <col collapsed="false" customWidth="true" hidden="false" outlineLevel="0" max="11" min="2" style="0" width="11.39"/>
    <col collapsed="false" customWidth="true" hidden="false" outlineLevel="0" max="1026" min="15" style="0" width="11.39"/>
  </cols>
  <sheetData>
    <row r="1" customFormat="false" ht="15" hidden="false" customHeight="true" outlineLevel="0" collapsed="false">
      <c r="A1" s="24" t="s">
        <v>460</v>
      </c>
      <c r="B1" s="23" t="s">
        <v>461</v>
      </c>
      <c r="C1" s="23" t="s">
        <v>462</v>
      </c>
      <c r="D1" s="23" t="s">
        <v>463</v>
      </c>
      <c r="E1" s="23" t="s">
        <v>464</v>
      </c>
      <c r="F1" s="23" t="s">
        <v>465</v>
      </c>
      <c r="G1" s="23" t="s">
        <v>466</v>
      </c>
      <c r="H1" s="23" t="s">
        <v>467</v>
      </c>
      <c r="I1" s="23" t="s">
        <v>468</v>
      </c>
      <c r="J1" s="23" t="s">
        <v>469</v>
      </c>
      <c r="K1" s="23" t="s">
        <v>470</v>
      </c>
      <c r="L1" s="23" t="s">
        <v>471</v>
      </c>
      <c r="M1" s="23" t="s">
        <v>472</v>
      </c>
    </row>
    <row r="2" customFormat="false" ht="15" hidden="false" customHeight="true" outlineLevel="0" collapsed="false">
      <c r="A2" s="24" t="n">
        <v>71</v>
      </c>
      <c r="B2" s="24" t="n">
        <v>120</v>
      </c>
      <c r="C2" s="24" t="s">
        <v>473</v>
      </c>
      <c r="D2" s="24" t="s">
        <v>474</v>
      </c>
      <c r="E2" s="24" t="n">
        <v>1</v>
      </c>
      <c r="F2" s="24" t="s">
        <v>475</v>
      </c>
      <c r="G2" s="24" t="s">
        <v>476</v>
      </c>
      <c r="H2" s="24" t="s">
        <v>477</v>
      </c>
      <c r="I2" s="24" t="s">
        <v>478</v>
      </c>
      <c r="J2" s="36" t="s">
        <v>474</v>
      </c>
      <c r="M2" s="24" t="n">
        <v>11827243389.3563</v>
      </c>
    </row>
    <row r="3" customFormat="false" ht="15" hidden="false" customHeight="true" outlineLevel="0" collapsed="false">
      <c r="A3" s="24" t="n">
        <v>72</v>
      </c>
      <c r="B3" s="24" t="n">
        <v>121</v>
      </c>
      <c r="C3" s="24" t="s">
        <v>473</v>
      </c>
      <c r="D3" s="24" t="s">
        <v>479</v>
      </c>
      <c r="E3" s="24" t="n">
        <v>1</v>
      </c>
      <c r="F3" s="24" t="s">
        <v>475</v>
      </c>
      <c r="G3" s="24" t="s">
        <v>476</v>
      </c>
      <c r="H3" s="24" t="s">
        <v>477</v>
      </c>
      <c r="I3" s="24" t="s">
        <v>480</v>
      </c>
      <c r="J3" s="36" t="s">
        <v>479</v>
      </c>
      <c r="M3" s="24" t="n">
        <v>443942712159.32</v>
      </c>
      <c r="P3" s="24" t="s">
        <v>481</v>
      </c>
    </row>
    <row r="4" customFormat="false" ht="15" hidden="false" customHeight="true" outlineLevel="0" collapsed="false">
      <c r="A4" s="24" t="n">
        <v>73</v>
      </c>
      <c r="B4" s="24" t="n">
        <v>122</v>
      </c>
      <c r="C4" s="24" t="s">
        <v>473</v>
      </c>
      <c r="D4" s="24" t="s">
        <v>482</v>
      </c>
      <c r="E4" s="24" t="n">
        <v>1</v>
      </c>
      <c r="F4" s="24" t="s">
        <v>475</v>
      </c>
      <c r="G4" s="24" t="s">
        <v>476</v>
      </c>
      <c r="H4" s="24" t="s">
        <v>483</v>
      </c>
      <c r="I4" s="24" t="s">
        <v>484</v>
      </c>
      <c r="J4" s="36" t="s">
        <v>482</v>
      </c>
      <c r="M4" s="24" t="n">
        <v>682376100480.579</v>
      </c>
      <c r="P4" s="26" t="s">
        <v>485</v>
      </c>
      <c r="Q4" s="27" t="s">
        <v>486</v>
      </c>
    </row>
    <row r="5" customFormat="false" ht="15" hidden="false" customHeight="true" outlineLevel="0" collapsed="false">
      <c r="A5" s="24" t="n">
        <v>74</v>
      </c>
      <c r="B5" s="24" t="n">
        <v>123</v>
      </c>
      <c r="C5" s="24" t="s">
        <v>473</v>
      </c>
      <c r="D5" s="24" t="s">
        <v>487</v>
      </c>
      <c r="E5" s="24" t="n">
        <v>1</v>
      </c>
      <c r="F5" s="24" t="s">
        <v>475</v>
      </c>
      <c r="G5" s="24" t="s">
        <v>476</v>
      </c>
      <c r="H5" s="24" t="s">
        <v>483</v>
      </c>
      <c r="I5" s="24" t="s">
        <v>484</v>
      </c>
      <c r="J5" s="36" t="s">
        <v>487</v>
      </c>
      <c r="M5" s="24" t="n">
        <v>384071834637.087</v>
      </c>
      <c r="P5" s="26" t="s">
        <v>488</v>
      </c>
      <c r="Q5" s="27" t="s">
        <v>489</v>
      </c>
    </row>
    <row r="6" customFormat="false" ht="15" hidden="false" customHeight="true" outlineLevel="0" collapsed="false">
      <c r="A6" s="24" t="n">
        <v>75</v>
      </c>
      <c r="B6" s="24" t="n">
        <v>126</v>
      </c>
      <c r="C6" s="24" t="s">
        <v>473</v>
      </c>
      <c r="D6" s="24" t="s">
        <v>490</v>
      </c>
      <c r="E6" s="24" t="n">
        <v>1</v>
      </c>
      <c r="F6" s="24" t="s">
        <v>475</v>
      </c>
      <c r="G6" s="24" t="s">
        <v>476</v>
      </c>
      <c r="H6" s="24" t="s">
        <v>483</v>
      </c>
      <c r="I6" s="24" t="s">
        <v>484</v>
      </c>
      <c r="J6" s="36" t="s">
        <v>490</v>
      </c>
      <c r="M6" s="24" t="n">
        <v>316899098139.797</v>
      </c>
    </row>
    <row r="7" customFormat="false" ht="15" hidden="false" customHeight="true" outlineLevel="0" collapsed="false">
      <c r="A7" s="24" t="n">
        <v>76</v>
      </c>
      <c r="B7" s="24" t="n">
        <v>133</v>
      </c>
      <c r="C7" s="24" t="s">
        <v>473</v>
      </c>
      <c r="D7" s="24" t="s">
        <v>491</v>
      </c>
      <c r="E7" s="24" t="n">
        <v>1</v>
      </c>
      <c r="F7" s="24" t="s">
        <v>492</v>
      </c>
      <c r="G7" s="24" t="s">
        <v>493</v>
      </c>
      <c r="H7" s="24" t="s">
        <v>494</v>
      </c>
      <c r="I7" s="24" t="s">
        <v>495</v>
      </c>
      <c r="J7" s="36" t="s">
        <v>491</v>
      </c>
      <c r="M7" s="24" t="n">
        <v>5394501655010.52</v>
      </c>
      <c r="P7" s="24" t="s">
        <v>496</v>
      </c>
    </row>
    <row r="8" customFormat="false" ht="15" hidden="false" customHeight="true" outlineLevel="0" collapsed="false">
      <c r="A8" s="24" t="n">
        <v>77</v>
      </c>
      <c r="B8" s="24" t="n">
        <v>134</v>
      </c>
      <c r="C8" s="24" t="s">
        <v>473</v>
      </c>
      <c r="D8" s="24" t="s">
        <v>497</v>
      </c>
      <c r="E8" s="24" t="n">
        <v>1</v>
      </c>
      <c r="F8" s="24" t="s">
        <v>475</v>
      </c>
      <c r="G8" s="24" t="s">
        <v>476</v>
      </c>
      <c r="H8" s="24" t="s">
        <v>483</v>
      </c>
      <c r="I8" s="24" t="s">
        <v>498</v>
      </c>
      <c r="J8" s="36" t="s">
        <v>497</v>
      </c>
      <c r="M8" s="24" t="n">
        <v>485353423550.577</v>
      </c>
      <c r="P8" s="24" t="s">
        <v>499</v>
      </c>
    </row>
    <row r="9" customFormat="false" ht="15" hidden="false" customHeight="true" outlineLevel="0" collapsed="false">
      <c r="A9" s="24" t="n">
        <v>78</v>
      </c>
      <c r="B9" s="24" t="n">
        <v>130</v>
      </c>
      <c r="C9" s="24" t="s">
        <v>473</v>
      </c>
      <c r="D9" s="24" t="s">
        <v>500</v>
      </c>
      <c r="E9" s="24" t="n">
        <v>1</v>
      </c>
      <c r="F9" s="24" t="s">
        <v>492</v>
      </c>
      <c r="G9" s="24" t="s">
        <v>493</v>
      </c>
      <c r="H9" s="24" t="s">
        <v>494</v>
      </c>
      <c r="I9" s="24" t="s">
        <v>495</v>
      </c>
      <c r="J9" s="36" t="s">
        <v>500</v>
      </c>
      <c r="M9" s="24" t="n">
        <v>4496587748126.46</v>
      </c>
    </row>
    <row r="10" customFormat="false" ht="15" hidden="false" customHeight="true" outlineLevel="0" collapsed="false">
      <c r="A10" s="24" t="n">
        <v>79</v>
      </c>
      <c r="B10" s="24" t="n">
        <v>131</v>
      </c>
      <c r="C10" s="24" t="s">
        <v>473</v>
      </c>
      <c r="D10" s="24" t="s">
        <v>501</v>
      </c>
      <c r="E10" s="24" t="n">
        <v>1</v>
      </c>
      <c r="F10" s="24" t="s">
        <v>475</v>
      </c>
      <c r="G10" s="24" t="s">
        <v>476</v>
      </c>
      <c r="H10" s="24" t="s">
        <v>483</v>
      </c>
      <c r="I10" s="24" t="s">
        <v>502</v>
      </c>
      <c r="J10" s="36" t="s">
        <v>501</v>
      </c>
      <c r="M10" s="24" t="n">
        <v>3023573856489.08</v>
      </c>
    </row>
    <row r="11" customFormat="false" ht="15" hidden="false" customHeight="true" outlineLevel="0" collapsed="false">
      <c r="A11" s="24" t="n">
        <v>80</v>
      </c>
      <c r="B11" s="24" t="n">
        <v>132</v>
      </c>
      <c r="C11" s="24" t="s">
        <v>473</v>
      </c>
      <c r="D11" s="24" t="s">
        <v>503</v>
      </c>
      <c r="E11" s="24" t="n">
        <v>1</v>
      </c>
      <c r="F11" s="24" t="s">
        <v>475</v>
      </c>
      <c r="G11" s="24" t="s">
        <v>476</v>
      </c>
      <c r="H11" s="24" t="s">
        <v>483</v>
      </c>
      <c r="I11" s="24" t="s">
        <v>498</v>
      </c>
      <c r="J11" s="36" t="s">
        <v>503</v>
      </c>
      <c r="M11" s="24" t="n">
        <v>1184538445204.43</v>
      </c>
    </row>
    <row r="12" customFormat="false" ht="15" hidden="false" customHeight="true" outlineLevel="0" collapsed="false">
      <c r="A12" s="24" t="n">
        <v>96</v>
      </c>
      <c r="B12" s="24" t="n">
        <v>112</v>
      </c>
      <c r="C12" s="24" t="s">
        <v>473</v>
      </c>
      <c r="D12" s="24" t="s">
        <v>504</v>
      </c>
      <c r="E12" s="24" t="n">
        <v>1</v>
      </c>
      <c r="F12" s="24" t="s">
        <v>475</v>
      </c>
      <c r="G12" s="24" t="s">
        <v>476</v>
      </c>
      <c r="H12" s="24" t="s">
        <v>477</v>
      </c>
      <c r="I12" s="24" t="s">
        <v>478</v>
      </c>
      <c r="J12" s="36" t="s">
        <v>504</v>
      </c>
      <c r="M12" s="24" t="n">
        <v>422247977449.676</v>
      </c>
    </row>
    <row r="13" customFormat="false" ht="15" hidden="false" customHeight="true" outlineLevel="0" collapsed="false">
      <c r="A13" s="24" t="n">
        <v>97</v>
      </c>
      <c r="B13" s="24" t="n">
        <v>113</v>
      </c>
      <c r="C13" s="24" t="s">
        <v>473</v>
      </c>
      <c r="D13" s="24" t="s">
        <v>505</v>
      </c>
      <c r="E13" s="24" t="n">
        <v>1</v>
      </c>
      <c r="F13" s="24" t="s">
        <v>475</v>
      </c>
      <c r="G13" s="24" t="s">
        <v>476</v>
      </c>
      <c r="H13" s="24" t="s">
        <v>477</v>
      </c>
      <c r="I13" s="24" t="s">
        <v>478</v>
      </c>
      <c r="J13" s="36" t="s">
        <v>505</v>
      </c>
      <c r="M13" s="24" t="n">
        <v>41321419919.6262</v>
      </c>
    </row>
    <row r="14" customFormat="false" ht="15" hidden="false" customHeight="true" outlineLevel="0" collapsed="false">
      <c r="A14" s="24" t="n">
        <v>98</v>
      </c>
      <c r="B14" s="24" t="n">
        <v>114</v>
      </c>
      <c r="C14" s="24" t="s">
        <v>473</v>
      </c>
      <c r="D14" s="24" t="s">
        <v>506</v>
      </c>
      <c r="E14" s="24" t="n">
        <v>1</v>
      </c>
      <c r="F14" s="24" t="s">
        <v>475</v>
      </c>
      <c r="G14" s="24" t="s">
        <v>476</v>
      </c>
      <c r="H14" s="24" t="s">
        <v>477</v>
      </c>
      <c r="I14" s="24" t="s">
        <v>507</v>
      </c>
      <c r="J14" s="36" t="s">
        <v>506</v>
      </c>
      <c r="M14" s="24" t="n">
        <v>62704555110.2853</v>
      </c>
    </row>
    <row r="15" customFormat="false" ht="15" hidden="false" customHeight="true" outlineLevel="0" collapsed="false">
      <c r="A15" s="24" t="n">
        <v>99</v>
      </c>
      <c r="B15" s="24" t="n">
        <v>115</v>
      </c>
      <c r="C15" s="24" t="s">
        <v>473</v>
      </c>
      <c r="D15" s="24" t="s">
        <v>508</v>
      </c>
      <c r="E15" s="24" t="n">
        <v>1</v>
      </c>
      <c r="F15" s="24" t="s">
        <v>475</v>
      </c>
      <c r="G15" s="24" t="s">
        <v>476</v>
      </c>
      <c r="H15" s="24" t="s">
        <v>477</v>
      </c>
      <c r="I15" s="24" t="s">
        <v>507</v>
      </c>
      <c r="J15" s="36" t="s">
        <v>508</v>
      </c>
      <c r="M15" s="24" t="n">
        <v>313741454768.857</v>
      </c>
    </row>
    <row r="16" customFormat="false" ht="15" hidden="false" customHeight="true" outlineLevel="0" collapsed="false">
      <c r="A16" s="24" t="n">
        <v>100</v>
      </c>
      <c r="B16" s="24" t="n">
        <v>116</v>
      </c>
      <c r="C16" s="24" t="s">
        <v>473</v>
      </c>
      <c r="D16" s="24" t="s">
        <v>509</v>
      </c>
      <c r="E16" s="24" t="n">
        <v>1</v>
      </c>
      <c r="F16" s="24" t="s">
        <v>475</v>
      </c>
      <c r="G16" s="24" t="s">
        <v>510</v>
      </c>
      <c r="H16" s="24" t="s">
        <v>511</v>
      </c>
      <c r="I16" s="24" t="s">
        <v>512</v>
      </c>
      <c r="J16" s="36" t="s">
        <v>509</v>
      </c>
      <c r="M16" s="24" t="n">
        <v>220899128413.511</v>
      </c>
    </row>
    <row r="17" customFormat="false" ht="15" hidden="false" customHeight="true" outlineLevel="0" collapsed="false">
      <c r="A17" s="24" t="n">
        <v>101</v>
      </c>
      <c r="B17" s="24" t="n">
        <v>117</v>
      </c>
      <c r="C17" s="24" t="s">
        <v>473</v>
      </c>
      <c r="D17" s="24" t="s">
        <v>513</v>
      </c>
      <c r="E17" s="24" t="n">
        <v>1</v>
      </c>
      <c r="F17" s="24" t="s">
        <v>475</v>
      </c>
      <c r="G17" s="24" t="s">
        <v>476</v>
      </c>
      <c r="H17" s="24" t="s">
        <v>477</v>
      </c>
      <c r="I17" s="24" t="s">
        <v>514</v>
      </c>
      <c r="J17" s="36" t="s">
        <v>513</v>
      </c>
      <c r="M17" s="24" t="n">
        <v>98667922160.6186</v>
      </c>
    </row>
    <row r="18" customFormat="false" ht="15" hidden="false" customHeight="true" outlineLevel="0" collapsed="false">
      <c r="A18" s="24" t="n">
        <v>102</v>
      </c>
      <c r="B18" s="24" t="n">
        <v>118</v>
      </c>
      <c r="C18" s="24" t="s">
        <v>473</v>
      </c>
      <c r="D18" s="24" t="s">
        <v>515</v>
      </c>
      <c r="E18" s="24" t="n">
        <v>1</v>
      </c>
      <c r="F18" s="24" t="s">
        <v>475</v>
      </c>
      <c r="G18" s="24" t="s">
        <v>476</v>
      </c>
      <c r="H18" s="24" t="s">
        <v>477</v>
      </c>
      <c r="I18" s="24" t="s">
        <v>514</v>
      </c>
      <c r="J18" s="36" t="s">
        <v>515</v>
      </c>
      <c r="M18" s="24" t="n">
        <v>846342412103.464</v>
      </c>
    </row>
    <row r="19" customFormat="false" ht="15" hidden="false" customHeight="true" outlineLevel="0" collapsed="false">
      <c r="A19" s="24" t="n">
        <v>103</v>
      </c>
      <c r="B19" s="24" t="n">
        <v>119</v>
      </c>
      <c r="C19" s="24" t="s">
        <v>473</v>
      </c>
      <c r="D19" s="24" t="s">
        <v>516</v>
      </c>
      <c r="E19" s="24" t="n">
        <v>1</v>
      </c>
      <c r="F19" s="24" t="s">
        <v>475</v>
      </c>
      <c r="G19" s="24" t="s">
        <v>476</v>
      </c>
      <c r="H19" s="24" t="s">
        <v>477</v>
      </c>
      <c r="I19" s="24" t="s">
        <v>480</v>
      </c>
      <c r="J19" s="36" t="s">
        <v>516</v>
      </c>
      <c r="M19" s="24" t="n">
        <v>286448212866.635</v>
      </c>
    </row>
    <row r="20" customFormat="false" ht="15" hidden="false" customHeight="true" outlineLevel="0" collapsed="false">
      <c r="A20" s="24" t="n">
        <v>104</v>
      </c>
      <c r="B20" s="24" t="n">
        <v>148</v>
      </c>
      <c r="C20" s="24" t="s">
        <v>473</v>
      </c>
      <c r="D20" s="24" t="s">
        <v>517</v>
      </c>
      <c r="E20" s="24" t="n">
        <v>1</v>
      </c>
      <c r="F20" s="24" t="s">
        <v>475</v>
      </c>
      <c r="G20" s="24" t="s">
        <v>518</v>
      </c>
      <c r="H20" s="24" t="s">
        <v>519</v>
      </c>
      <c r="I20" s="24" t="s">
        <v>520</v>
      </c>
      <c r="J20" s="36" t="s">
        <v>517</v>
      </c>
      <c r="M20" s="24" t="n">
        <v>881394555828.878</v>
      </c>
    </row>
    <row r="21" customFormat="false" ht="15" hidden="false" customHeight="true" outlineLevel="0" collapsed="false">
      <c r="A21" s="24" t="n">
        <v>105</v>
      </c>
      <c r="B21" s="24" t="n">
        <v>149</v>
      </c>
      <c r="C21" s="24" t="s">
        <v>473</v>
      </c>
      <c r="D21" s="24" t="s">
        <v>521</v>
      </c>
      <c r="E21" s="24" t="n">
        <v>1</v>
      </c>
      <c r="F21" s="24" t="s">
        <v>492</v>
      </c>
      <c r="G21" s="24" t="s">
        <v>522</v>
      </c>
      <c r="H21" s="24" t="s">
        <v>523</v>
      </c>
      <c r="I21" s="24" t="s">
        <v>524</v>
      </c>
      <c r="J21" s="36" t="s">
        <v>521</v>
      </c>
      <c r="M21" s="24" t="n">
        <v>279189043353.845</v>
      </c>
    </row>
    <row r="22" customFormat="false" ht="15" hidden="false" customHeight="true" outlineLevel="0" collapsed="false">
      <c r="A22" s="24" t="n">
        <v>106</v>
      </c>
      <c r="B22" s="24" t="n">
        <v>150</v>
      </c>
      <c r="C22" s="24" t="s">
        <v>473</v>
      </c>
      <c r="D22" s="24" t="s">
        <v>525</v>
      </c>
      <c r="E22" s="24" t="n">
        <v>1</v>
      </c>
      <c r="F22" s="24" t="s">
        <v>475</v>
      </c>
      <c r="G22" s="24" t="s">
        <v>518</v>
      </c>
      <c r="H22" s="24" t="s">
        <v>519</v>
      </c>
      <c r="I22" s="24" t="s">
        <v>520</v>
      </c>
      <c r="J22" s="36" t="s">
        <v>525</v>
      </c>
      <c r="M22" s="24" t="n">
        <v>642349466314.66</v>
      </c>
    </row>
    <row r="23" customFormat="false" ht="15" hidden="false" customHeight="true" outlineLevel="0" collapsed="false">
      <c r="A23" s="24" t="n">
        <v>107</v>
      </c>
      <c r="B23" s="24" t="n">
        <v>151</v>
      </c>
      <c r="C23" s="24" t="s">
        <v>473</v>
      </c>
      <c r="D23" s="24" t="s">
        <v>526</v>
      </c>
      <c r="E23" s="24" t="n">
        <v>1</v>
      </c>
      <c r="F23" s="24" t="s">
        <v>475</v>
      </c>
      <c r="G23" s="24" t="s">
        <v>518</v>
      </c>
      <c r="H23" s="24" t="s">
        <v>519</v>
      </c>
      <c r="I23" s="24" t="s">
        <v>520</v>
      </c>
      <c r="J23" s="36" t="s">
        <v>526</v>
      </c>
      <c r="M23" s="24" t="n">
        <v>434666422776.439</v>
      </c>
    </row>
    <row r="24" customFormat="false" ht="15" hidden="false" customHeight="true" outlineLevel="0" collapsed="false">
      <c r="A24" s="24" t="n">
        <v>108</v>
      </c>
      <c r="B24" s="24" t="n">
        <v>152</v>
      </c>
      <c r="C24" s="24" t="s">
        <v>473</v>
      </c>
      <c r="D24" s="24" t="s">
        <v>527</v>
      </c>
      <c r="E24" s="24" t="n">
        <v>1</v>
      </c>
      <c r="F24" s="24" t="s">
        <v>528</v>
      </c>
      <c r="G24" s="24" t="s">
        <v>529</v>
      </c>
      <c r="H24" s="24" t="s">
        <v>530</v>
      </c>
      <c r="I24" s="24" t="s">
        <v>531</v>
      </c>
      <c r="J24" s="36" t="s">
        <v>527</v>
      </c>
      <c r="M24" s="24" t="n">
        <v>2153313079917.89</v>
      </c>
    </row>
    <row r="25" customFormat="false" ht="15" hidden="false" customHeight="true" outlineLevel="0" collapsed="false">
      <c r="A25" s="24" t="n">
        <v>109</v>
      </c>
      <c r="B25" s="24" t="n">
        <v>153</v>
      </c>
      <c r="C25" s="24" t="s">
        <v>473</v>
      </c>
      <c r="D25" s="24" t="s">
        <v>532</v>
      </c>
      <c r="E25" s="24" t="n">
        <v>1</v>
      </c>
      <c r="F25" s="24" t="s">
        <v>492</v>
      </c>
      <c r="G25" s="24" t="s">
        <v>522</v>
      </c>
      <c r="H25" s="24" t="s">
        <v>523</v>
      </c>
      <c r="I25" s="24" t="s">
        <v>533</v>
      </c>
      <c r="J25" s="36" t="s">
        <v>532</v>
      </c>
      <c r="M25" s="24" t="n">
        <v>9930060670167.31</v>
      </c>
    </row>
    <row r="26" customFormat="false" ht="15" hidden="false" customHeight="true" outlineLevel="0" collapsed="false">
      <c r="A26" s="24" t="n">
        <v>110</v>
      </c>
      <c r="B26" s="24" t="n">
        <v>154</v>
      </c>
      <c r="C26" s="24" t="s">
        <v>473</v>
      </c>
      <c r="D26" s="24" t="s">
        <v>534</v>
      </c>
      <c r="E26" s="24" t="n">
        <v>1</v>
      </c>
      <c r="F26" s="24" t="s">
        <v>492</v>
      </c>
      <c r="G26" s="24" t="s">
        <v>522</v>
      </c>
      <c r="H26" s="24" t="s">
        <v>523</v>
      </c>
      <c r="I26" s="24" t="s">
        <v>533</v>
      </c>
      <c r="J26" s="36" t="s">
        <v>534</v>
      </c>
      <c r="M26" s="24" t="n">
        <v>385961797925.447</v>
      </c>
    </row>
    <row r="27" customFormat="false" ht="15" hidden="false" customHeight="true" outlineLevel="0" collapsed="false">
      <c r="A27" s="24" t="n">
        <v>111</v>
      </c>
      <c r="B27" s="24" t="n">
        <v>155</v>
      </c>
      <c r="C27" s="24" t="s">
        <v>473</v>
      </c>
      <c r="D27" s="24" t="s">
        <v>535</v>
      </c>
      <c r="E27" s="24" t="n">
        <v>1</v>
      </c>
      <c r="F27" s="24" t="s">
        <v>492</v>
      </c>
      <c r="G27" s="24" t="s">
        <v>522</v>
      </c>
      <c r="H27" s="24" t="s">
        <v>523</v>
      </c>
      <c r="I27" s="24" t="s">
        <v>533</v>
      </c>
      <c r="J27" s="36" t="s">
        <v>535</v>
      </c>
      <c r="M27" s="24" t="n">
        <v>378752335437.995</v>
      </c>
    </row>
    <row r="28" customFormat="false" ht="15" hidden="false" customHeight="true" outlineLevel="0" collapsed="false">
      <c r="A28" s="24" t="n">
        <v>112</v>
      </c>
      <c r="B28" s="24" t="n">
        <v>156</v>
      </c>
      <c r="C28" s="24" t="s">
        <v>473</v>
      </c>
      <c r="D28" s="24" t="s">
        <v>536</v>
      </c>
      <c r="E28" s="24" t="n">
        <v>1</v>
      </c>
      <c r="F28" s="24" t="s">
        <v>475</v>
      </c>
      <c r="G28" s="24" t="s">
        <v>518</v>
      </c>
      <c r="H28" s="24" t="s">
        <v>519</v>
      </c>
      <c r="I28" s="24" t="s">
        <v>537</v>
      </c>
      <c r="J28" s="36" t="s">
        <v>536</v>
      </c>
      <c r="M28" s="24" t="n">
        <v>655635852456.714</v>
      </c>
    </row>
    <row r="29" customFormat="false" ht="15" hidden="false" customHeight="true" outlineLevel="0" collapsed="false">
      <c r="A29" s="24" t="n">
        <v>113</v>
      </c>
      <c r="B29" s="24" t="n">
        <v>157</v>
      </c>
      <c r="C29" s="24" t="s">
        <v>473</v>
      </c>
      <c r="D29" s="24" t="s">
        <v>538</v>
      </c>
      <c r="E29" s="24" t="n">
        <v>1</v>
      </c>
      <c r="F29" s="24" t="s">
        <v>475</v>
      </c>
      <c r="G29" s="24" t="s">
        <v>518</v>
      </c>
      <c r="H29" s="24" t="s">
        <v>519</v>
      </c>
      <c r="I29" s="24" t="s">
        <v>520</v>
      </c>
      <c r="J29" s="36" t="s">
        <v>538</v>
      </c>
      <c r="M29" s="24" t="n">
        <v>3867382562514.35</v>
      </c>
    </row>
    <row r="30" customFormat="false" ht="15" hidden="false" customHeight="true" outlineLevel="0" collapsed="false">
      <c r="A30" s="24" t="n">
        <v>114</v>
      </c>
      <c r="B30" s="24" t="n">
        <v>158</v>
      </c>
      <c r="C30" s="24" t="s">
        <v>473</v>
      </c>
      <c r="D30" s="24" t="s">
        <v>539</v>
      </c>
      <c r="E30" s="24" t="n">
        <v>1</v>
      </c>
      <c r="F30" s="24" t="s">
        <v>475</v>
      </c>
      <c r="G30" s="24" t="s">
        <v>476</v>
      </c>
      <c r="H30" s="24" t="s">
        <v>483</v>
      </c>
      <c r="I30" s="24" t="s">
        <v>502</v>
      </c>
      <c r="J30" s="36" t="s">
        <v>539</v>
      </c>
      <c r="M30" s="24" t="n">
        <v>1695676630652.49</v>
      </c>
    </row>
    <row r="31" customFormat="false" ht="15" hidden="false" customHeight="true" outlineLevel="0" collapsed="false">
      <c r="A31" s="24" t="n">
        <v>115</v>
      </c>
      <c r="B31" s="24" t="n">
        <v>159</v>
      </c>
      <c r="C31" s="24" t="s">
        <v>473</v>
      </c>
      <c r="D31" s="24" t="s">
        <v>540</v>
      </c>
      <c r="E31" s="24" t="n">
        <v>1</v>
      </c>
      <c r="F31" s="24" t="s">
        <v>528</v>
      </c>
      <c r="G31" s="24" t="s">
        <v>529</v>
      </c>
      <c r="H31" s="24" t="s">
        <v>530</v>
      </c>
      <c r="I31" s="24" t="s">
        <v>531</v>
      </c>
      <c r="J31" s="36" t="s">
        <v>540</v>
      </c>
      <c r="M31" s="24" t="n">
        <v>1696302714188.09</v>
      </c>
    </row>
    <row r="32" customFormat="false" ht="15" hidden="false" customHeight="true" outlineLevel="0" collapsed="false">
      <c r="A32" s="24" t="n">
        <v>116</v>
      </c>
      <c r="B32" s="24" t="n">
        <v>160</v>
      </c>
      <c r="C32" s="24" t="s">
        <v>473</v>
      </c>
      <c r="D32" s="24" t="s">
        <v>541</v>
      </c>
      <c r="E32" s="24" t="n">
        <v>1</v>
      </c>
      <c r="F32" s="24" t="s">
        <v>492</v>
      </c>
      <c r="G32" s="24" t="s">
        <v>522</v>
      </c>
      <c r="H32" s="24" t="s">
        <v>523</v>
      </c>
      <c r="I32" s="24" t="s">
        <v>533</v>
      </c>
      <c r="J32" s="36" t="s">
        <v>541</v>
      </c>
      <c r="M32" s="24" t="n">
        <v>85283982520.7598</v>
      </c>
    </row>
    <row r="33" customFormat="false" ht="15" hidden="false" customHeight="true" outlineLevel="0" collapsed="false">
      <c r="A33" s="24" t="n">
        <v>117</v>
      </c>
      <c r="B33" s="24" t="n">
        <v>162</v>
      </c>
      <c r="C33" s="24" t="s">
        <v>473</v>
      </c>
      <c r="D33" s="24" t="s">
        <v>542</v>
      </c>
      <c r="E33" s="24" t="n">
        <v>1</v>
      </c>
      <c r="F33" s="24" t="s">
        <v>492</v>
      </c>
      <c r="G33" s="24" t="s">
        <v>522</v>
      </c>
      <c r="H33" s="24" t="s">
        <v>523</v>
      </c>
      <c r="I33" s="24" t="s">
        <v>533</v>
      </c>
      <c r="J33" s="36" t="s">
        <v>542</v>
      </c>
      <c r="M33" s="24" t="n">
        <v>81149107680.7171</v>
      </c>
    </row>
    <row r="34" customFormat="false" ht="15" hidden="false" customHeight="true" outlineLevel="0" collapsed="false">
      <c r="A34" s="24" t="n">
        <v>118</v>
      </c>
      <c r="B34" s="24" t="n">
        <v>163</v>
      </c>
      <c r="C34" s="24" t="s">
        <v>473</v>
      </c>
      <c r="D34" s="24" t="s">
        <v>543</v>
      </c>
      <c r="E34" s="24" t="n">
        <v>1</v>
      </c>
      <c r="F34" s="24" t="s">
        <v>475</v>
      </c>
      <c r="G34" s="24" t="s">
        <v>518</v>
      </c>
      <c r="H34" s="24" t="s">
        <v>519</v>
      </c>
      <c r="I34" s="24" t="s">
        <v>537</v>
      </c>
      <c r="J34" s="36" t="s">
        <v>543</v>
      </c>
      <c r="M34" s="24" t="n">
        <v>344471053621.151</v>
      </c>
    </row>
    <row r="35" customFormat="false" ht="15" hidden="false" customHeight="true" outlineLevel="0" collapsed="false">
      <c r="A35" s="24" t="n">
        <v>119</v>
      </c>
      <c r="B35" s="24" t="n">
        <v>164</v>
      </c>
      <c r="C35" s="24" t="s">
        <v>473</v>
      </c>
      <c r="D35" s="24" t="s">
        <v>544</v>
      </c>
      <c r="E35" s="24" t="n">
        <v>1</v>
      </c>
      <c r="F35" s="24" t="s">
        <v>492</v>
      </c>
      <c r="G35" s="24" t="s">
        <v>522</v>
      </c>
      <c r="H35" s="24" t="s">
        <v>523</v>
      </c>
      <c r="I35" s="24" t="s">
        <v>533</v>
      </c>
      <c r="J35" s="36" t="s">
        <v>544</v>
      </c>
      <c r="M35" s="24" t="n">
        <v>135175004544.727</v>
      </c>
    </row>
    <row r="36" customFormat="false" ht="15" hidden="false" customHeight="true" outlineLevel="0" collapsed="false">
      <c r="A36" s="24" t="n">
        <v>120</v>
      </c>
      <c r="B36" s="24" t="n">
        <v>165</v>
      </c>
      <c r="C36" s="24" t="s">
        <v>473</v>
      </c>
      <c r="D36" s="24" t="s">
        <v>545</v>
      </c>
      <c r="E36" s="24" t="n">
        <v>1</v>
      </c>
      <c r="F36" s="24" t="s">
        <v>492</v>
      </c>
      <c r="G36" s="24" t="s">
        <v>522</v>
      </c>
      <c r="H36" s="24" t="s">
        <v>523</v>
      </c>
      <c r="I36" s="24" t="s">
        <v>546</v>
      </c>
      <c r="J36" s="36" t="s">
        <v>545</v>
      </c>
      <c r="M36" s="24" t="n">
        <v>7043515912715.17</v>
      </c>
    </row>
    <row r="37" customFormat="false" ht="15" hidden="false" customHeight="true" outlineLevel="0" collapsed="false">
      <c r="A37" s="24" t="n">
        <v>121</v>
      </c>
      <c r="B37" s="24" t="n">
        <v>169</v>
      </c>
      <c r="C37" s="24" t="s">
        <v>473</v>
      </c>
      <c r="D37" s="24" t="s">
        <v>547</v>
      </c>
      <c r="E37" s="24" t="n">
        <v>1</v>
      </c>
      <c r="F37" s="24" t="s">
        <v>475</v>
      </c>
      <c r="G37" s="24" t="s">
        <v>518</v>
      </c>
      <c r="H37" s="24" t="s">
        <v>519</v>
      </c>
      <c r="I37" s="24" t="s">
        <v>537</v>
      </c>
      <c r="J37" s="36" t="s">
        <v>547</v>
      </c>
      <c r="M37" s="24" t="n">
        <v>5197206508048.25</v>
      </c>
    </row>
    <row r="38" customFormat="false" ht="15" hidden="false" customHeight="true" outlineLevel="0" collapsed="false">
      <c r="A38" s="24" t="n">
        <v>122</v>
      </c>
      <c r="B38" s="24" t="n">
        <v>170</v>
      </c>
      <c r="C38" s="24" t="s">
        <v>473</v>
      </c>
      <c r="D38" s="24" t="s">
        <v>548</v>
      </c>
      <c r="E38" s="24" t="n">
        <v>1</v>
      </c>
      <c r="F38" s="24" t="s">
        <v>475</v>
      </c>
      <c r="G38" s="24" t="s">
        <v>518</v>
      </c>
      <c r="H38" s="24" t="s">
        <v>519</v>
      </c>
      <c r="I38" s="24" t="s">
        <v>549</v>
      </c>
      <c r="J38" s="36" t="s">
        <v>548</v>
      </c>
      <c r="M38" s="24" t="n">
        <v>2439357816518.61</v>
      </c>
    </row>
    <row r="39" customFormat="false" ht="15" hidden="false" customHeight="true" outlineLevel="0" collapsed="false">
      <c r="A39" s="24" t="n">
        <v>123</v>
      </c>
      <c r="B39" s="24" t="n">
        <v>171</v>
      </c>
      <c r="C39" s="24" t="s">
        <v>473</v>
      </c>
      <c r="D39" s="24" t="s">
        <v>550</v>
      </c>
      <c r="E39" s="24" t="n">
        <v>1</v>
      </c>
      <c r="F39" s="24" t="s">
        <v>475</v>
      </c>
      <c r="G39" s="24" t="s">
        <v>510</v>
      </c>
      <c r="H39" s="24" t="s">
        <v>511</v>
      </c>
      <c r="I39" s="24" t="s">
        <v>551</v>
      </c>
      <c r="J39" s="36" t="s">
        <v>550</v>
      </c>
      <c r="M39" s="24" t="n">
        <v>1600757464658.69</v>
      </c>
    </row>
    <row r="40" customFormat="false" ht="15" hidden="false" customHeight="true" outlineLevel="0" collapsed="false">
      <c r="A40" s="24" t="n">
        <v>124</v>
      </c>
      <c r="B40" s="24" t="n">
        <v>172</v>
      </c>
      <c r="C40" s="24" t="s">
        <v>473</v>
      </c>
      <c r="D40" s="24" t="s">
        <v>552</v>
      </c>
      <c r="E40" s="24" t="n">
        <v>1</v>
      </c>
      <c r="F40" s="24" t="s">
        <v>475</v>
      </c>
      <c r="G40" s="24" t="s">
        <v>510</v>
      </c>
      <c r="H40" s="24" t="s">
        <v>511</v>
      </c>
      <c r="I40" s="24" t="s">
        <v>553</v>
      </c>
      <c r="J40" s="36" t="s">
        <v>552</v>
      </c>
      <c r="M40" s="24" t="n">
        <v>467636809277.081</v>
      </c>
    </row>
    <row r="41" customFormat="false" ht="15" hidden="false" customHeight="true" outlineLevel="0" collapsed="false">
      <c r="A41" s="24" t="n">
        <v>125</v>
      </c>
      <c r="B41" s="24" t="n">
        <v>173</v>
      </c>
      <c r="C41" s="24" t="s">
        <v>473</v>
      </c>
      <c r="D41" s="24" t="s">
        <v>554</v>
      </c>
      <c r="E41" s="24" t="n">
        <v>1</v>
      </c>
      <c r="F41" s="24" t="s">
        <v>528</v>
      </c>
      <c r="G41" s="24" t="s">
        <v>555</v>
      </c>
      <c r="H41" s="24" t="s">
        <v>556</v>
      </c>
      <c r="I41" s="24" t="s">
        <v>557</v>
      </c>
      <c r="J41" s="36" t="s">
        <v>554</v>
      </c>
      <c r="M41" s="24" t="n">
        <v>654991036258.367</v>
      </c>
    </row>
    <row r="42" customFormat="false" ht="15" hidden="false" customHeight="true" outlineLevel="0" collapsed="false">
      <c r="A42" s="24" t="n">
        <v>126</v>
      </c>
      <c r="B42" s="24" t="n">
        <v>174</v>
      </c>
      <c r="C42" s="24" t="s">
        <v>473</v>
      </c>
      <c r="D42" s="24" t="s">
        <v>558</v>
      </c>
      <c r="E42" s="24" t="n">
        <v>1</v>
      </c>
      <c r="F42" s="24" t="s">
        <v>528</v>
      </c>
      <c r="G42" s="24" t="s">
        <v>555</v>
      </c>
      <c r="H42" s="24" t="s">
        <v>556</v>
      </c>
      <c r="I42" s="24" t="s">
        <v>559</v>
      </c>
      <c r="J42" s="36" t="s">
        <v>558</v>
      </c>
      <c r="M42" s="24" t="n">
        <v>2496053978349.43</v>
      </c>
    </row>
    <row r="43" customFormat="false" ht="15" hidden="false" customHeight="true" outlineLevel="0" collapsed="false">
      <c r="A43" s="24" t="n">
        <v>127</v>
      </c>
      <c r="B43" s="24" t="n">
        <v>175</v>
      </c>
      <c r="C43" s="24" t="s">
        <v>473</v>
      </c>
      <c r="D43" s="24" t="s">
        <v>560</v>
      </c>
      <c r="E43" s="24" t="n">
        <v>1</v>
      </c>
      <c r="F43" s="24" t="s">
        <v>475</v>
      </c>
      <c r="G43" s="24" t="s">
        <v>518</v>
      </c>
      <c r="H43" s="24" t="s">
        <v>519</v>
      </c>
      <c r="I43" s="24" t="s">
        <v>537</v>
      </c>
      <c r="J43" s="36" t="s">
        <v>560</v>
      </c>
      <c r="M43" s="24" t="n">
        <v>467312947943.878</v>
      </c>
    </row>
    <row r="44" customFormat="false" ht="15" hidden="false" customHeight="true" outlineLevel="0" collapsed="false">
      <c r="A44" s="24" t="n">
        <v>128</v>
      </c>
      <c r="B44" s="24" t="n">
        <v>176</v>
      </c>
      <c r="C44" s="24" t="s">
        <v>473</v>
      </c>
      <c r="D44" s="24" t="s">
        <v>561</v>
      </c>
      <c r="E44" s="24" t="n">
        <v>1</v>
      </c>
      <c r="F44" s="24" t="s">
        <v>475</v>
      </c>
      <c r="G44" s="24" t="s">
        <v>518</v>
      </c>
      <c r="H44" s="24" t="s">
        <v>519</v>
      </c>
      <c r="I44" s="24" t="s">
        <v>549</v>
      </c>
      <c r="J44" s="36" t="s">
        <v>561</v>
      </c>
      <c r="M44" s="24" t="n">
        <v>1088366320151.37</v>
      </c>
    </row>
    <row r="45" customFormat="false" ht="15" hidden="false" customHeight="true" outlineLevel="0" collapsed="false">
      <c r="A45" s="24" t="n">
        <v>129</v>
      </c>
      <c r="B45" s="24" t="n">
        <v>177</v>
      </c>
      <c r="C45" s="24" t="s">
        <v>473</v>
      </c>
      <c r="D45" s="24" t="s">
        <v>562</v>
      </c>
      <c r="E45" s="24" t="n">
        <v>1</v>
      </c>
      <c r="F45" s="24" t="s">
        <v>475</v>
      </c>
      <c r="G45" s="24" t="s">
        <v>476</v>
      </c>
      <c r="H45" s="24" t="s">
        <v>477</v>
      </c>
      <c r="I45" s="24" t="s">
        <v>507</v>
      </c>
      <c r="J45" s="36" t="s">
        <v>562</v>
      </c>
      <c r="M45" s="24" t="n">
        <v>468186948532.718</v>
      </c>
    </row>
    <row r="46" customFormat="false" ht="15" hidden="false" customHeight="true" outlineLevel="0" collapsed="false">
      <c r="A46" s="24" t="n">
        <v>130</v>
      </c>
      <c r="B46" s="24" t="n">
        <v>178</v>
      </c>
      <c r="C46" s="24" t="s">
        <v>473</v>
      </c>
      <c r="D46" s="24" t="s">
        <v>563</v>
      </c>
      <c r="E46" s="24" t="n">
        <v>1</v>
      </c>
      <c r="F46" s="24" t="s">
        <v>475</v>
      </c>
      <c r="G46" s="24" t="s">
        <v>476</v>
      </c>
      <c r="H46" s="24" t="s">
        <v>483</v>
      </c>
      <c r="I46" s="24" t="s">
        <v>498</v>
      </c>
      <c r="J46" s="36" t="s">
        <v>563</v>
      </c>
      <c r="M46" s="24" t="n">
        <v>550565654867.548</v>
      </c>
    </row>
    <row r="47" customFormat="false" ht="15" hidden="false" customHeight="true" outlineLevel="0" collapsed="false">
      <c r="A47" s="24" t="n">
        <v>131</v>
      </c>
      <c r="B47" s="24" t="n">
        <v>166</v>
      </c>
      <c r="C47" s="24" t="s">
        <v>473</v>
      </c>
      <c r="D47" s="24" t="s">
        <v>564</v>
      </c>
      <c r="E47" s="24" t="n">
        <v>1</v>
      </c>
      <c r="F47" s="24" t="s">
        <v>492</v>
      </c>
      <c r="G47" s="24" t="s">
        <v>522</v>
      </c>
      <c r="H47" s="24" t="s">
        <v>523</v>
      </c>
      <c r="I47" s="24" t="s">
        <v>546</v>
      </c>
      <c r="J47" s="36" t="s">
        <v>564</v>
      </c>
      <c r="M47" s="24" t="n">
        <v>361270756415.043</v>
      </c>
    </row>
    <row r="48" customFormat="false" ht="15" hidden="false" customHeight="true" outlineLevel="0" collapsed="false">
      <c r="A48" s="24" t="n">
        <v>132</v>
      </c>
      <c r="B48" s="24" t="n">
        <v>167</v>
      </c>
      <c r="C48" s="24" t="s">
        <v>473</v>
      </c>
      <c r="D48" s="24" t="s">
        <v>565</v>
      </c>
      <c r="E48" s="24" t="n">
        <v>1</v>
      </c>
      <c r="F48" s="24" t="s">
        <v>492</v>
      </c>
      <c r="G48" s="24" t="s">
        <v>522</v>
      </c>
      <c r="H48" s="24" t="s">
        <v>523</v>
      </c>
      <c r="I48" s="24" t="s">
        <v>546</v>
      </c>
      <c r="J48" s="36" t="s">
        <v>565</v>
      </c>
      <c r="M48" s="24" t="n">
        <v>448330060091.911</v>
      </c>
    </row>
    <row r="49" customFormat="false" ht="15" hidden="false" customHeight="true" outlineLevel="0" collapsed="false">
      <c r="A49" s="24" t="n">
        <v>133</v>
      </c>
      <c r="B49" s="24" t="n">
        <v>168</v>
      </c>
      <c r="C49" s="24" t="s">
        <v>473</v>
      </c>
      <c r="D49" s="24" t="s">
        <v>566</v>
      </c>
      <c r="E49" s="24" t="n">
        <v>1</v>
      </c>
      <c r="F49" s="24" t="s">
        <v>528</v>
      </c>
      <c r="G49" s="24" t="s">
        <v>555</v>
      </c>
      <c r="H49" s="24" t="s">
        <v>556</v>
      </c>
      <c r="I49" s="24" t="s">
        <v>557</v>
      </c>
      <c r="J49" s="36" t="s">
        <v>566</v>
      </c>
      <c r="M49" s="24" t="n">
        <v>1083086415270.52</v>
      </c>
    </row>
    <row r="50" customFormat="false" ht="15" hidden="false" customHeight="true" outlineLevel="0" collapsed="false">
      <c r="A50" s="24" t="n">
        <v>134</v>
      </c>
      <c r="B50" s="24" t="n">
        <v>142</v>
      </c>
      <c r="C50" s="24" t="s">
        <v>473</v>
      </c>
      <c r="D50" s="24" t="s">
        <v>567</v>
      </c>
      <c r="E50" s="24" t="n">
        <v>1</v>
      </c>
      <c r="F50" s="24" t="s">
        <v>475</v>
      </c>
      <c r="G50" s="24" t="s">
        <v>476</v>
      </c>
      <c r="H50" s="24" t="s">
        <v>483</v>
      </c>
      <c r="I50" s="24" t="s">
        <v>498</v>
      </c>
      <c r="J50" s="36" t="s">
        <v>567</v>
      </c>
      <c r="M50" s="24" t="n">
        <v>1147419312303.39</v>
      </c>
    </row>
    <row r="51" customFormat="false" ht="15" hidden="false" customHeight="true" outlineLevel="0" collapsed="false">
      <c r="A51" s="24" t="n">
        <v>135</v>
      </c>
      <c r="B51" s="24" t="n">
        <v>143</v>
      </c>
      <c r="C51" s="24" t="s">
        <v>473</v>
      </c>
      <c r="D51" s="24" t="s">
        <v>568</v>
      </c>
      <c r="E51" s="24" t="n">
        <v>1</v>
      </c>
      <c r="F51" s="24" t="s">
        <v>492</v>
      </c>
      <c r="G51" s="24" t="s">
        <v>522</v>
      </c>
      <c r="H51" s="24" t="s">
        <v>523</v>
      </c>
      <c r="I51" s="24" t="s">
        <v>524</v>
      </c>
      <c r="J51" s="36" t="s">
        <v>568</v>
      </c>
      <c r="M51" s="24" t="n">
        <v>569190026492.586</v>
      </c>
    </row>
    <row r="52" customFormat="false" ht="15" hidden="false" customHeight="true" outlineLevel="0" collapsed="false">
      <c r="A52" s="24" t="n">
        <v>136</v>
      </c>
      <c r="B52" s="24" t="n">
        <v>144</v>
      </c>
      <c r="C52" s="24" t="s">
        <v>473</v>
      </c>
      <c r="D52" s="24" t="s">
        <v>569</v>
      </c>
      <c r="E52" s="24" t="n">
        <v>1</v>
      </c>
      <c r="F52" s="24" t="s">
        <v>475</v>
      </c>
      <c r="G52" s="24" t="s">
        <v>476</v>
      </c>
      <c r="H52" s="24" t="s">
        <v>483</v>
      </c>
      <c r="I52" s="24" t="s">
        <v>498</v>
      </c>
      <c r="J52" s="36" t="s">
        <v>569</v>
      </c>
      <c r="M52" s="24" t="n">
        <v>716880734337.015</v>
      </c>
    </row>
    <row r="53" customFormat="false" ht="15" hidden="false" customHeight="true" outlineLevel="0" collapsed="false">
      <c r="A53" s="24" t="n">
        <v>137</v>
      </c>
      <c r="B53" s="24" t="n">
        <v>145</v>
      </c>
      <c r="C53" s="24" t="s">
        <v>473</v>
      </c>
      <c r="D53" s="24" t="s">
        <v>570</v>
      </c>
      <c r="E53" s="24" t="n">
        <v>1</v>
      </c>
      <c r="F53" s="24" t="s">
        <v>475</v>
      </c>
      <c r="G53" s="24" t="s">
        <v>476</v>
      </c>
      <c r="H53" s="24" t="s">
        <v>483</v>
      </c>
      <c r="I53" s="24" t="s">
        <v>498</v>
      </c>
      <c r="J53" s="36" t="s">
        <v>570</v>
      </c>
      <c r="M53" s="24" t="n">
        <v>412127342882.95</v>
      </c>
    </row>
    <row r="54" customFormat="false" ht="15" hidden="false" customHeight="true" outlineLevel="0" collapsed="false">
      <c r="A54" s="24" t="n">
        <v>138</v>
      </c>
      <c r="B54" s="24" t="n">
        <v>146</v>
      </c>
      <c r="C54" s="24" t="s">
        <v>473</v>
      </c>
      <c r="D54" s="24" t="s">
        <v>571</v>
      </c>
      <c r="E54" s="24" t="n">
        <v>1</v>
      </c>
      <c r="F54" s="24" t="s">
        <v>492</v>
      </c>
      <c r="G54" s="24" t="s">
        <v>522</v>
      </c>
      <c r="H54" s="24" t="s">
        <v>523</v>
      </c>
      <c r="I54" s="24" t="s">
        <v>524</v>
      </c>
      <c r="J54" s="36" t="s">
        <v>571</v>
      </c>
      <c r="M54" s="24" t="n">
        <v>504900117973.34</v>
      </c>
    </row>
    <row r="55" customFormat="false" ht="15" hidden="false" customHeight="true" outlineLevel="0" collapsed="false">
      <c r="A55" s="24" t="n">
        <v>139</v>
      </c>
      <c r="B55" s="24" t="n">
        <v>147</v>
      </c>
      <c r="C55" s="24" t="s">
        <v>473</v>
      </c>
      <c r="D55" s="24" t="s">
        <v>572</v>
      </c>
      <c r="E55" s="24" t="n">
        <v>1</v>
      </c>
      <c r="F55" s="24" t="s">
        <v>492</v>
      </c>
      <c r="G55" s="24" t="s">
        <v>522</v>
      </c>
      <c r="H55" s="24" t="s">
        <v>523</v>
      </c>
      <c r="I55" s="24" t="s">
        <v>524</v>
      </c>
      <c r="J55" s="36" t="s">
        <v>572</v>
      </c>
      <c r="M55" s="24" t="n">
        <v>10566518729291.9</v>
      </c>
    </row>
    <row r="56" customFormat="false" ht="15" hidden="false" customHeight="true" outlineLevel="0" collapsed="false">
      <c r="A56" s="24" t="n">
        <v>140</v>
      </c>
      <c r="B56" s="24" t="n">
        <v>189</v>
      </c>
      <c r="C56" s="24" t="s">
        <v>473</v>
      </c>
      <c r="D56" s="24" t="s">
        <v>573</v>
      </c>
      <c r="E56" s="24" t="n">
        <v>1</v>
      </c>
      <c r="F56" s="24" t="s">
        <v>475</v>
      </c>
      <c r="G56" s="24" t="s">
        <v>518</v>
      </c>
      <c r="H56" s="24" t="s">
        <v>519</v>
      </c>
      <c r="I56" s="24" t="s">
        <v>549</v>
      </c>
      <c r="J56" s="36" t="s">
        <v>573</v>
      </c>
      <c r="M56" s="24" t="n">
        <v>1519799815516.16</v>
      </c>
    </row>
    <row r="57" customFormat="false" ht="15" hidden="false" customHeight="true" outlineLevel="0" collapsed="false">
      <c r="A57" s="24" t="n">
        <v>141</v>
      </c>
      <c r="B57" s="24" t="n">
        <v>190</v>
      </c>
      <c r="C57" s="24" t="s">
        <v>473</v>
      </c>
      <c r="D57" s="24" t="s">
        <v>574</v>
      </c>
      <c r="E57" s="24" t="n">
        <v>1</v>
      </c>
      <c r="F57" s="24" t="s">
        <v>528</v>
      </c>
      <c r="G57" s="24" t="s">
        <v>555</v>
      </c>
      <c r="H57" s="24" t="s">
        <v>556</v>
      </c>
      <c r="I57" s="24" t="s">
        <v>559</v>
      </c>
      <c r="J57" s="36" t="s">
        <v>574</v>
      </c>
      <c r="M57" s="24" t="n">
        <v>1559667064619.35</v>
      </c>
    </row>
    <row r="58" customFormat="false" ht="15" hidden="false" customHeight="true" outlineLevel="0" collapsed="false">
      <c r="A58" s="24" t="n">
        <v>142</v>
      </c>
      <c r="B58" s="24" t="n">
        <v>191</v>
      </c>
      <c r="C58" s="24" t="s">
        <v>473</v>
      </c>
      <c r="D58" s="24" t="s">
        <v>575</v>
      </c>
      <c r="E58" s="24" t="n">
        <v>1</v>
      </c>
      <c r="F58" s="24" t="s">
        <v>528</v>
      </c>
      <c r="G58" s="24" t="s">
        <v>555</v>
      </c>
      <c r="H58" s="24" t="s">
        <v>556</v>
      </c>
      <c r="I58" s="24" t="s">
        <v>559</v>
      </c>
      <c r="J58" s="36" t="s">
        <v>575</v>
      </c>
      <c r="M58" s="24" t="n">
        <v>4594091372824.08</v>
      </c>
    </row>
    <row r="59" customFormat="false" ht="15" hidden="false" customHeight="true" outlineLevel="0" collapsed="false">
      <c r="A59" s="24" t="n">
        <v>143</v>
      </c>
      <c r="B59" s="24" t="n">
        <v>192</v>
      </c>
      <c r="C59" s="24" t="s">
        <v>473</v>
      </c>
      <c r="D59" s="24" t="s">
        <v>576</v>
      </c>
      <c r="E59" s="24" t="n">
        <v>1</v>
      </c>
      <c r="F59" s="24" t="s">
        <v>528</v>
      </c>
      <c r="G59" s="24" t="s">
        <v>555</v>
      </c>
      <c r="H59" s="24" t="s">
        <v>556</v>
      </c>
      <c r="I59" s="24" t="s">
        <v>559</v>
      </c>
      <c r="J59" s="36" t="s">
        <v>576</v>
      </c>
      <c r="M59" s="24" t="n">
        <v>1174975618182.74</v>
      </c>
    </row>
    <row r="60" customFormat="false" ht="15" hidden="false" customHeight="true" outlineLevel="0" collapsed="false">
      <c r="A60" s="24" t="n">
        <v>144</v>
      </c>
      <c r="B60" s="24" t="n">
        <v>193</v>
      </c>
      <c r="C60" s="24" t="s">
        <v>473</v>
      </c>
      <c r="D60" s="24" t="s">
        <v>577</v>
      </c>
      <c r="E60" s="24" t="n">
        <v>1</v>
      </c>
      <c r="F60" s="24" t="s">
        <v>475</v>
      </c>
      <c r="G60" s="24" t="s">
        <v>518</v>
      </c>
      <c r="H60" s="24" t="s">
        <v>578</v>
      </c>
      <c r="I60" s="24" t="s">
        <v>579</v>
      </c>
      <c r="J60" s="36" t="s">
        <v>577</v>
      </c>
      <c r="M60" s="24" t="n">
        <v>3815618915934.19</v>
      </c>
    </row>
    <row r="61" customFormat="false" ht="15" hidden="false" customHeight="true" outlineLevel="0" collapsed="false">
      <c r="A61" s="24" t="n">
        <v>145</v>
      </c>
      <c r="B61" s="24" t="n">
        <v>194</v>
      </c>
      <c r="C61" s="24" t="s">
        <v>473</v>
      </c>
      <c r="D61" s="24" t="s">
        <v>580</v>
      </c>
      <c r="E61" s="24" t="n">
        <v>1</v>
      </c>
      <c r="F61" s="24" t="s">
        <v>475</v>
      </c>
      <c r="G61" s="24" t="s">
        <v>518</v>
      </c>
      <c r="H61" s="24" t="s">
        <v>578</v>
      </c>
      <c r="I61" s="24" t="s">
        <v>579</v>
      </c>
      <c r="J61" s="36" t="s">
        <v>580</v>
      </c>
      <c r="M61" s="24" t="n">
        <v>1093012946462.8</v>
      </c>
    </row>
    <row r="62" customFormat="false" ht="15" hidden="false" customHeight="true" outlineLevel="0" collapsed="false">
      <c r="A62" s="24" t="n">
        <v>146</v>
      </c>
      <c r="B62" s="24" t="n">
        <v>195</v>
      </c>
      <c r="C62" s="24" t="s">
        <v>473</v>
      </c>
      <c r="D62" s="24" t="s">
        <v>581</v>
      </c>
      <c r="E62" s="24" t="n">
        <v>1</v>
      </c>
      <c r="F62" s="24" t="s">
        <v>475</v>
      </c>
      <c r="G62" s="24" t="s">
        <v>510</v>
      </c>
      <c r="H62" s="24" t="s">
        <v>582</v>
      </c>
      <c r="I62" s="24" t="s">
        <v>583</v>
      </c>
      <c r="J62" s="36" t="s">
        <v>581</v>
      </c>
      <c r="M62" s="24" t="n">
        <v>70014038601.6461</v>
      </c>
    </row>
    <row r="63" customFormat="false" ht="15" hidden="false" customHeight="true" outlineLevel="0" collapsed="false">
      <c r="A63" s="24" t="n">
        <v>147</v>
      </c>
      <c r="B63" s="24" t="n">
        <v>196</v>
      </c>
      <c r="C63" s="24" t="s">
        <v>473</v>
      </c>
      <c r="D63" s="24" t="s">
        <v>584</v>
      </c>
      <c r="E63" s="24" t="n">
        <v>1</v>
      </c>
      <c r="F63" s="24" t="s">
        <v>475</v>
      </c>
      <c r="G63" s="24" t="s">
        <v>510</v>
      </c>
      <c r="H63" s="24" t="s">
        <v>582</v>
      </c>
      <c r="I63" s="24" t="s">
        <v>583</v>
      </c>
      <c r="J63" s="36" t="s">
        <v>584</v>
      </c>
      <c r="M63" s="24" t="n">
        <v>88359698256.121</v>
      </c>
    </row>
    <row r="64" customFormat="false" ht="15" hidden="false" customHeight="true" outlineLevel="0" collapsed="false">
      <c r="A64" s="24" t="n">
        <v>148</v>
      </c>
      <c r="B64" s="24" t="n">
        <v>197</v>
      </c>
      <c r="C64" s="24" t="s">
        <v>473</v>
      </c>
      <c r="D64" s="24" t="s">
        <v>585</v>
      </c>
      <c r="E64" s="24" t="n">
        <v>1</v>
      </c>
      <c r="F64" s="24" t="s">
        <v>475</v>
      </c>
      <c r="G64" s="24" t="s">
        <v>510</v>
      </c>
      <c r="H64" s="24" t="s">
        <v>582</v>
      </c>
      <c r="I64" s="24" t="s">
        <v>586</v>
      </c>
      <c r="J64" s="36" t="s">
        <v>585</v>
      </c>
      <c r="M64" s="24" t="n">
        <v>171992691258.642</v>
      </c>
    </row>
    <row r="65" customFormat="false" ht="15" hidden="false" customHeight="true" outlineLevel="0" collapsed="false">
      <c r="A65" s="24" t="n">
        <v>149</v>
      </c>
      <c r="B65" s="24" t="n">
        <v>198</v>
      </c>
      <c r="C65" s="24" t="s">
        <v>473</v>
      </c>
      <c r="D65" s="24" t="s">
        <v>587</v>
      </c>
      <c r="E65" s="24" t="n">
        <v>1</v>
      </c>
      <c r="F65" s="24" t="s">
        <v>475</v>
      </c>
      <c r="G65" s="24" t="s">
        <v>510</v>
      </c>
      <c r="H65" s="24" t="s">
        <v>582</v>
      </c>
      <c r="I65" s="24" t="s">
        <v>583</v>
      </c>
      <c r="J65" s="36" t="s">
        <v>587</v>
      </c>
      <c r="M65" s="24" t="n">
        <v>412234431658.546</v>
      </c>
    </row>
    <row r="66" customFormat="false" ht="15" hidden="false" customHeight="true" outlineLevel="0" collapsed="false">
      <c r="A66" s="24" t="n">
        <v>150</v>
      </c>
      <c r="B66" s="24" t="n">
        <v>199</v>
      </c>
      <c r="C66" s="24" t="s">
        <v>473</v>
      </c>
      <c r="D66" s="24" t="s">
        <v>588</v>
      </c>
      <c r="E66" s="24" t="n">
        <v>1</v>
      </c>
      <c r="F66" s="24" t="s">
        <v>475</v>
      </c>
      <c r="G66" s="24" t="s">
        <v>510</v>
      </c>
      <c r="H66" s="24" t="s">
        <v>582</v>
      </c>
      <c r="I66" s="24" t="s">
        <v>586</v>
      </c>
      <c r="J66" s="36" t="s">
        <v>588</v>
      </c>
      <c r="M66" s="24" t="n">
        <v>186307407391.846</v>
      </c>
    </row>
    <row r="67" customFormat="false" ht="15" hidden="false" customHeight="true" outlineLevel="0" collapsed="false">
      <c r="A67" s="24" t="n">
        <v>151</v>
      </c>
      <c r="B67" s="24" t="n">
        <v>200</v>
      </c>
      <c r="C67" s="24" t="s">
        <v>473</v>
      </c>
      <c r="D67" s="24" t="s">
        <v>589</v>
      </c>
      <c r="E67" s="24" t="n">
        <v>1</v>
      </c>
      <c r="F67" s="24" t="s">
        <v>475</v>
      </c>
      <c r="G67" s="24" t="s">
        <v>510</v>
      </c>
      <c r="H67" s="24" t="s">
        <v>582</v>
      </c>
      <c r="I67" s="24" t="s">
        <v>590</v>
      </c>
      <c r="J67" s="36" t="s">
        <v>589</v>
      </c>
      <c r="M67" s="24" t="n">
        <v>409645550250.667</v>
      </c>
    </row>
    <row r="68" customFormat="false" ht="15" hidden="false" customHeight="true" outlineLevel="0" collapsed="false">
      <c r="A68" s="24" t="n">
        <v>152</v>
      </c>
      <c r="B68" s="24" t="n">
        <v>201</v>
      </c>
      <c r="C68" s="24" t="s">
        <v>473</v>
      </c>
      <c r="D68" s="24" t="s">
        <v>591</v>
      </c>
      <c r="E68" s="24" t="n">
        <v>1</v>
      </c>
      <c r="F68" s="24" t="s">
        <v>475</v>
      </c>
      <c r="G68" s="24" t="s">
        <v>510</v>
      </c>
      <c r="H68" s="24" t="s">
        <v>582</v>
      </c>
      <c r="I68" s="24" t="s">
        <v>590</v>
      </c>
      <c r="J68" s="36" t="s">
        <v>591</v>
      </c>
      <c r="M68" s="24" t="n">
        <v>140872407131.34</v>
      </c>
    </row>
    <row r="69" customFormat="false" ht="15" hidden="false" customHeight="true" outlineLevel="0" collapsed="false">
      <c r="A69" s="24" t="n">
        <v>153</v>
      </c>
      <c r="B69" s="24" t="n">
        <v>202</v>
      </c>
      <c r="C69" s="24" t="s">
        <v>473</v>
      </c>
      <c r="D69" s="24" t="s">
        <v>592</v>
      </c>
      <c r="E69" s="24" t="n">
        <v>1</v>
      </c>
      <c r="F69" s="24" t="s">
        <v>475</v>
      </c>
      <c r="G69" s="24" t="s">
        <v>518</v>
      </c>
      <c r="H69" s="24" t="s">
        <v>578</v>
      </c>
      <c r="I69" s="24" t="s">
        <v>593</v>
      </c>
      <c r="J69" s="36" t="s">
        <v>592</v>
      </c>
      <c r="M69" s="24" t="n">
        <v>177437783206.397</v>
      </c>
    </row>
    <row r="70" customFormat="false" ht="15" hidden="false" customHeight="true" outlineLevel="0" collapsed="false">
      <c r="A70" s="24" t="n">
        <v>154</v>
      </c>
      <c r="B70" s="24" t="n">
        <v>207</v>
      </c>
      <c r="C70" s="24" t="s">
        <v>473</v>
      </c>
      <c r="D70" s="24" t="s">
        <v>594</v>
      </c>
      <c r="E70" s="24" t="n">
        <v>1</v>
      </c>
      <c r="F70" s="24" t="s">
        <v>475</v>
      </c>
      <c r="G70" s="24" t="s">
        <v>518</v>
      </c>
      <c r="H70" s="24" t="s">
        <v>578</v>
      </c>
      <c r="I70" s="24" t="s">
        <v>595</v>
      </c>
      <c r="J70" s="36" t="s">
        <v>594</v>
      </c>
      <c r="M70" s="24" t="n">
        <v>175826164398.976</v>
      </c>
    </row>
    <row r="71" customFormat="false" ht="15" hidden="false" customHeight="true" outlineLevel="0" collapsed="false">
      <c r="A71" s="24" t="n">
        <v>155</v>
      </c>
      <c r="B71" s="24" t="n">
        <v>208</v>
      </c>
      <c r="C71" s="24" t="s">
        <v>473</v>
      </c>
      <c r="D71" s="24" t="s">
        <v>596</v>
      </c>
      <c r="E71" s="24" t="n">
        <v>1</v>
      </c>
      <c r="F71" s="24" t="s">
        <v>475</v>
      </c>
      <c r="G71" s="24" t="s">
        <v>518</v>
      </c>
      <c r="H71" s="24" t="s">
        <v>578</v>
      </c>
      <c r="I71" s="24" t="s">
        <v>593</v>
      </c>
      <c r="J71" s="36" t="s">
        <v>596</v>
      </c>
      <c r="M71" s="24" t="n">
        <v>217121567139.558</v>
      </c>
    </row>
    <row r="72" customFormat="false" ht="15" hidden="false" customHeight="true" outlineLevel="0" collapsed="false">
      <c r="A72" s="24" t="n">
        <v>156</v>
      </c>
      <c r="B72" s="24" t="n">
        <v>209</v>
      </c>
      <c r="C72" s="24" t="s">
        <v>473</v>
      </c>
      <c r="D72" s="24" t="s">
        <v>597</v>
      </c>
      <c r="E72" s="24" t="n">
        <v>1</v>
      </c>
      <c r="F72" s="24" t="s">
        <v>475</v>
      </c>
      <c r="G72" s="24" t="s">
        <v>518</v>
      </c>
      <c r="H72" s="24" t="s">
        <v>578</v>
      </c>
      <c r="I72" s="24" t="s">
        <v>593</v>
      </c>
      <c r="J72" s="36" t="s">
        <v>597</v>
      </c>
      <c r="M72" s="24" t="n">
        <v>223244675125.655</v>
      </c>
    </row>
    <row r="73" customFormat="false" ht="15" hidden="false" customHeight="true" outlineLevel="0" collapsed="false">
      <c r="A73" s="24" t="n">
        <v>157</v>
      </c>
      <c r="B73" s="24" t="n">
        <v>210</v>
      </c>
      <c r="C73" s="24" t="s">
        <v>473</v>
      </c>
      <c r="D73" s="24" t="s">
        <v>598</v>
      </c>
      <c r="E73" s="24" t="n">
        <v>1</v>
      </c>
      <c r="F73" s="24" t="s">
        <v>475</v>
      </c>
      <c r="G73" s="24" t="s">
        <v>518</v>
      </c>
      <c r="H73" s="24" t="s">
        <v>578</v>
      </c>
      <c r="I73" s="24" t="s">
        <v>593</v>
      </c>
      <c r="J73" s="36" t="s">
        <v>598</v>
      </c>
      <c r="M73" s="24" t="n">
        <v>226608326184.943</v>
      </c>
    </row>
    <row r="74" customFormat="false" ht="15" hidden="false" customHeight="true" outlineLevel="0" collapsed="false">
      <c r="A74" s="24" t="n">
        <v>158</v>
      </c>
      <c r="B74" s="24" t="n">
        <v>211</v>
      </c>
      <c r="C74" s="24" t="s">
        <v>473</v>
      </c>
      <c r="D74" s="24" t="s">
        <v>599</v>
      </c>
      <c r="E74" s="24" t="n">
        <v>1</v>
      </c>
      <c r="F74" s="24" t="s">
        <v>475</v>
      </c>
      <c r="G74" s="24" t="s">
        <v>518</v>
      </c>
      <c r="H74" s="24" t="s">
        <v>578</v>
      </c>
      <c r="I74" s="24" t="s">
        <v>593</v>
      </c>
      <c r="J74" s="36" t="s">
        <v>599</v>
      </c>
      <c r="M74" s="24" t="n">
        <v>357712169818.44</v>
      </c>
    </row>
    <row r="75" customFormat="false" ht="15" hidden="false" customHeight="true" outlineLevel="0" collapsed="false">
      <c r="A75" s="24" t="n">
        <v>159</v>
      </c>
      <c r="B75" s="24" t="n">
        <v>212</v>
      </c>
      <c r="C75" s="24" t="s">
        <v>473</v>
      </c>
      <c r="D75" s="24" t="s">
        <v>600</v>
      </c>
      <c r="E75" s="24" t="n">
        <v>1</v>
      </c>
      <c r="F75" s="24" t="s">
        <v>475</v>
      </c>
      <c r="G75" s="24" t="s">
        <v>510</v>
      </c>
      <c r="H75" s="24" t="s">
        <v>511</v>
      </c>
      <c r="I75" s="24" t="s">
        <v>553</v>
      </c>
      <c r="J75" s="36" t="s">
        <v>600</v>
      </c>
      <c r="M75" s="24" t="n">
        <v>167971393625.767</v>
      </c>
    </row>
    <row r="76" customFormat="false" ht="15" hidden="false" customHeight="true" outlineLevel="0" collapsed="false">
      <c r="A76" s="24" t="n">
        <v>160</v>
      </c>
      <c r="B76" s="24" t="n">
        <v>213</v>
      </c>
      <c r="C76" s="24" t="s">
        <v>473</v>
      </c>
      <c r="D76" s="24" t="s">
        <v>601</v>
      </c>
      <c r="E76" s="24" t="n">
        <v>1</v>
      </c>
      <c r="F76" s="24" t="s">
        <v>475</v>
      </c>
      <c r="G76" s="24" t="s">
        <v>510</v>
      </c>
      <c r="H76" s="24" t="s">
        <v>511</v>
      </c>
      <c r="I76" s="24" t="s">
        <v>602</v>
      </c>
      <c r="J76" s="36" t="s">
        <v>601</v>
      </c>
      <c r="M76" s="24" t="n">
        <v>92763573597.9697</v>
      </c>
    </row>
    <row r="77" customFormat="false" ht="15" hidden="false" customHeight="true" outlineLevel="0" collapsed="false">
      <c r="A77" s="24" t="n">
        <v>161</v>
      </c>
      <c r="B77" s="24" t="n">
        <v>214</v>
      </c>
      <c r="C77" s="24" t="s">
        <v>473</v>
      </c>
      <c r="D77" s="24" t="s">
        <v>603</v>
      </c>
      <c r="E77" s="24" t="n">
        <v>1</v>
      </c>
      <c r="F77" s="24" t="s">
        <v>475</v>
      </c>
      <c r="G77" s="24" t="s">
        <v>510</v>
      </c>
      <c r="H77" s="24" t="s">
        <v>511</v>
      </c>
      <c r="I77" s="24" t="s">
        <v>602</v>
      </c>
      <c r="J77" s="36" t="s">
        <v>603</v>
      </c>
      <c r="M77" s="24" t="n">
        <v>34964551008.0146</v>
      </c>
    </row>
    <row r="78" customFormat="false" ht="15" hidden="false" customHeight="true" outlineLevel="0" collapsed="false">
      <c r="A78" s="24" t="n">
        <v>162</v>
      </c>
      <c r="B78" s="24" t="n">
        <v>215</v>
      </c>
      <c r="C78" s="24" t="s">
        <v>473</v>
      </c>
      <c r="D78" s="24" t="s">
        <v>604</v>
      </c>
      <c r="E78" s="24" t="n">
        <v>1</v>
      </c>
      <c r="F78" s="24" t="s">
        <v>475</v>
      </c>
      <c r="G78" s="24" t="s">
        <v>510</v>
      </c>
      <c r="H78" s="24" t="s">
        <v>511</v>
      </c>
      <c r="I78" s="24" t="s">
        <v>551</v>
      </c>
      <c r="J78" s="36" t="s">
        <v>604</v>
      </c>
      <c r="M78" s="24" t="n">
        <v>1042053158223.93</v>
      </c>
    </row>
    <row r="79" customFormat="false" ht="15" hidden="false" customHeight="true" outlineLevel="0" collapsed="false">
      <c r="A79" s="24" t="n">
        <v>163</v>
      </c>
      <c r="B79" s="24" t="n">
        <v>216</v>
      </c>
      <c r="C79" s="24" t="s">
        <v>473</v>
      </c>
      <c r="D79" s="24" t="s">
        <v>605</v>
      </c>
      <c r="E79" s="24" t="n">
        <v>1</v>
      </c>
      <c r="F79" s="24" t="s">
        <v>475</v>
      </c>
      <c r="G79" s="24" t="s">
        <v>510</v>
      </c>
      <c r="H79" s="24" t="s">
        <v>511</v>
      </c>
      <c r="I79" s="24" t="s">
        <v>602</v>
      </c>
      <c r="J79" s="36" t="s">
        <v>605</v>
      </c>
      <c r="M79" s="24" t="n">
        <v>303932170699.637</v>
      </c>
    </row>
    <row r="80" customFormat="false" ht="15" hidden="false" customHeight="true" outlineLevel="0" collapsed="false">
      <c r="A80" s="24" t="n">
        <v>164</v>
      </c>
      <c r="B80" s="24" t="n">
        <v>203</v>
      </c>
      <c r="C80" s="24" t="s">
        <v>473</v>
      </c>
      <c r="D80" s="24" t="s">
        <v>606</v>
      </c>
      <c r="E80" s="24" t="n">
        <v>1</v>
      </c>
      <c r="F80" s="24" t="s">
        <v>475</v>
      </c>
      <c r="G80" s="24" t="s">
        <v>518</v>
      </c>
      <c r="H80" s="24" t="s">
        <v>578</v>
      </c>
      <c r="I80" s="24" t="s">
        <v>593</v>
      </c>
      <c r="J80" s="36" t="s">
        <v>606</v>
      </c>
      <c r="M80" s="24" t="n">
        <v>228987010239.696</v>
      </c>
    </row>
    <row r="81" customFormat="false" ht="15" hidden="false" customHeight="true" outlineLevel="0" collapsed="false">
      <c r="A81" s="24" t="n">
        <v>165</v>
      </c>
      <c r="B81" s="24" t="n">
        <v>204</v>
      </c>
      <c r="C81" s="24" t="s">
        <v>473</v>
      </c>
      <c r="D81" s="24" t="s">
        <v>607</v>
      </c>
      <c r="E81" s="24" t="n">
        <v>1</v>
      </c>
      <c r="F81" s="24" t="s">
        <v>475</v>
      </c>
      <c r="G81" s="24" t="s">
        <v>518</v>
      </c>
      <c r="H81" s="24" t="s">
        <v>578</v>
      </c>
      <c r="I81" s="24" t="s">
        <v>608</v>
      </c>
      <c r="J81" s="36" t="s">
        <v>607</v>
      </c>
      <c r="M81" s="24" t="n">
        <v>3491072379995.28</v>
      </c>
    </row>
    <row r="82" customFormat="false" ht="15" hidden="false" customHeight="true" outlineLevel="0" collapsed="false">
      <c r="A82" s="24" t="n">
        <v>166</v>
      </c>
      <c r="B82" s="24" t="n">
        <v>205</v>
      </c>
      <c r="C82" s="24" t="s">
        <v>473</v>
      </c>
      <c r="D82" s="24" t="s">
        <v>609</v>
      </c>
      <c r="E82" s="24" t="n">
        <v>1</v>
      </c>
      <c r="F82" s="24" t="s">
        <v>475</v>
      </c>
      <c r="G82" s="24" t="s">
        <v>518</v>
      </c>
      <c r="H82" s="24" t="s">
        <v>578</v>
      </c>
      <c r="I82" s="24" t="s">
        <v>610</v>
      </c>
      <c r="J82" s="36" t="s">
        <v>609</v>
      </c>
      <c r="M82" s="24" t="n">
        <v>3956846105365.01</v>
      </c>
    </row>
    <row r="83" customFormat="false" ht="15" hidden="false" customHeight="true" outlineLevel="0" collapsed="false">
      <c r="A83" s="24" t="n">
        <v>167</v>
      </c>
      <c r="B83" s="24" t="n">
        <v>206</v>
      </c>
      <c r="C83" s="24" t="s">
        <v>473</v>
      </c>
      <c r="D83" s="24" t="s">
        <v>611</v>
      </c>
      <c r="E83" s="24" t="n">
        <v>1</v>
      </c>
      <c r="F83" s="24" t="s">
        <v>475</v>
      </c>
      <c r="G83" s="24" t="s">
        <v>518</v>
      </c>
      <c r="H83" s="24" t="s">
        <v>578</v>
      </c>
      <c r="I83" s="24" t="s">
        <v>595</v>
      </c>
      <c r="J83" s="36" t="s">
        <v>611</v>
      </c>
      <c r="M83" s="24" t="n">
        <v>197939868755.13</v>
      </c>
    </row>
    <row r="84" customFormat="false" ht="15" hidden="false" customHeight="true" outlineLevel="0" collapsed="false">
      <c r="A84" s="24" t="n">
        <v>168</v>
      </c>
      <c r="B84" s="24" t="n">
        <v>249</v>
      </c>
      <c r="C84" s="24" t="s">
        <v>473</v>
      </c>
      <c r="D84" s="24" t="s">
        <v>612</v>
      </c>
      <c r="E84" s="24" t="n">
        <v>1</v>
      </c>
      <c r="F84" s="24" t="s">
        <v>475</v>
      </c>
      <c r="G84" s="24" t="s">
        <v>510</v>
      </c>
      <c r="H84" s="24" t="s">
        <v>511</v>
      </c>
      <c r="I84" s="24" t="s">
        <v>613</v>
      </c>
      <c r="J84" s="36" t="s">
        <v>612</v>
      </c>
      <c r="M84" s="24" t="n">
        <v>99469988428.1812</v>
      </c>
    </row>
    <row r="85" customFormat="false" ht="15" hidden="false" customHeight="true" outlineLevel="0" collapsed="false">
      <c r="A85" s="24" t="n">
        <v>169</v>
      </c>
      <c r="B85" s="24" t="n">
        <v>250</v>
      </c>
      <c r="C85" s="24" t="s">
        <v>473</v>
      </c>
      <c r="D85" s="24" t="s">
        <v>614</v>
      </c>
      <c r="E85" s="24" t="n">
        <v>1</v>
      </c>
      <c r="F85" s="24" t="s">
        <v>475</v>
      </c>
      <c r="G85" s="24" t="s">
        <v>510</v>
      </c>
      <c r="H85" s="24" t="s">
        <v>511</v>
      </c>
      <c r="I85" s="24" t="s">
        <v>613</v>
      </c>
      <c r="J85" s="36" t="s">
        <v>614</v>
      </c>
      <c r="M85" s="24" t="n">
        <v>57004067470.8803</v>
      </c>
    </row>
    <row r="86" customFormat="false" ht="15" hidden="false" customHeight="true" outlineLevel="0" collapsed="false">
      <c r="A86" s="24" t="n">
        <v>170</v>
      </c>
      <c r="B86" s="24" t="n">
        <v>251</v>
      </c>
      <c r="C86" s="24" t="s">
        <v>473</v>
      </c>
      <c r="D86" s="24" t="s">
        <v>615</v>
      </c>
      <c r="E86" s="24" t="n">
        <v>1</v>
      </c>
      <c r="F86" s="24" t="s">
        <v>475</v>
      </c>
      <c r="G86" s="24" t="s">
        <v>510</v>
      </c>
      <c r="H86" s="24" t="s">
        <v>511</v>
      </c>
      <c r="I86" s="24" t="s">
        <v>613</v>
      </c>
      <c r="J86" s="36" t="s">
        <v>615</v>
      </c>
      <c r="M86" s="24" t="n">
        <v>18973216547.9267</v>
      </c>
    </row>
    <row r="87" customFormat="false" ht="15" hidden="false" customHeight="true" outlineLevel="0" collapsed="false">
      <c r="A87" s="24" t="n">
        <v>171</v>
      </c>
      <c r="B87" s="24" t="n">
        <v>252</v>
      </c>
      <c r="C87" s="24" t="s">
        <v>473</v>
      </c>
      <c r="D87" s="24" t="s">
        <v>616</v>
      </c>
      <c r="E87" s="24" t="n">
        <v>1</v>
      </c>
      <c r="F87" s="24" t="s">
        <v>475</v>
      </c>
      <c r="G87" s="24" t="s">
        <v>510</v>
      </c>
      <c r="H87" s="24" t="s">
        <v>511</v>
      </c>
      <c r="I87" s="24" t="s">
        <v>613</v>
      </c>
      <c r="J87" s="36" t="s">
        <v>616</v>
      </c>
      <c r="M87" s="24" t="n">
        <v>47663203973.074</v>
      </c>
    </row>
    <row r="88" customFormat="false" ht="15" hidden="false" customHeight="true" outlineLevel="0" collapsed="false">
      <c r="A88" s="24" t="n">
        <v>172</v>
      </c>
      <c r="B88" s="24" t="n">
        <v>253</v>
      </c>
      <c r="C88" s="24" t="s">
        <v>473</v>
      </c>
      <c r="D88" s="24" t="s">
        <v>617</v>
      </c>
      <c r="E88" s="24" t="n">
        <v>1</v>
      </c>
      <c r="F88" s="24" t="s">
        <v>475</v>
      </c>
      <c r="G88" s="24" t="s">
        <v>510</v>
      </c>
      <c r="H88" s="24" t="s">
        <v>511</v>
      </c>
      <c r="I88" s="24" t="s">
        <v>512</v>
      </c>
      <c r="J88" s="36" t="s">
        <v>617</v>
      </c>
      <c r="M88" s="24" t="n">
        <v>856596953847.155</v>
      </c>
    </row>
    <row r="89" customFormat="false" ht="15" hidden="false" customHeight="true" outlineLevel="0" collapsed="false">
      <c r="A89" s="24" t="n">
        <v>173</v>
      </c>
      <c r="B89" s="24" t="n">
        <v>254</v>
      </c>
      <c r="C89" s="24" t="s">
        <v>473</v>
      </c>
      <c r="D89" s="24" t="s">
        <v>618</v>
      </c>
      <c r="E89" s="24" t="n">
        <v>1</v>
      </c>
      <c r="F89" s="24" t="s">
        <v>475</v>
      </c>
      <c r="G89" s="24" t="s">
        <v>510</v>
      </c>
      <c r="H89" s="24" t="s">
        <v>511</v>
      </c>
      <c r="I89" s="24" t="s">
        <v>613</v>
      </c>
      <c r="J89" s="36" t="s">
        <v>618</v>
      </c>
      <c r="M89" s="24" t="n">
        <v>214505346084.981</v>
      </c>
    </row>
    <row r="90" customFormat="false" ht="15" hidden="false" customHeight="true" outlineLevel="0" collapsed="false">
      <c r="A90" s="24" t="n">
        <v>174</v>
      </c>
      <c r="B90" s="24" t="n">
        <v>255</v>
      </c>
      <c r="C90" s="24" t="s">
        <v>473</v>
      </c>
      <c r="D90" s="24" t="s">
        <v>619</v>
      </c>
      <c r="E90" s="24" t="n">
        <v>1</v>
      </c>
      <c r="F90" s="24" t="s">
        <v>475</v>
      </c>
      <c r="G90" s="24" t="s">
        <v>510</v>
      </c>
      <c r="H90" s="24" t="s">
        <v>511</v>
      </c>
      <c r="I90" s="24" t="s">
        <v>620</v>
      </c>
      <c r="J90" s="36" t="s">
        <v>619</v>
      </c>
      <c r="M90" s="24" t="n">
        <v>64302618029.0277</v>
      </c>
    </row>
    <row r="91" customFormat="false" ht="15" hidden="false" customHeight="true" outlineLevel="0" collapsed="false">
      <c r="A91" s="24" t="n">
        <v>175</v>
      </c>
      <c r="B91" s="24" t="n">
        <v>256</v>
      </c>
      <c r="C91" s="24" t="s">
        <v>473</v>
      </c>
      <c r="D91" s="24" t="s">
        <v>621</v>
      </c>
      <c r="E91" s="24" t="n">
        <v>1</v>
      </c>
      <c r="F91" s="24" t="s">
        <v>475</v>
      </c>
      <c r="G91" s="24" t="s">
        <v>510</v>
      </c>
      <c r="H91" s="24" t="s">
        <v>511</v>
      </c>
      <c r="I91" s="24" t="s">
        <v>613</v>
      </c>
      <c r="J91" s="36" t="s">
        <v>621</v>
      </c>
      <c r="M91" s="24" t="n">
        <v>88580563653.3709</v>
      </c>
    </row>
    <row r="92" customFormat="false" ht="15" hidden="false" customHeight="true" outlineLevel="0" collapsed="false">
      <c r="A92" s="24" t="n">
        <v>176</v>
      </c>
      <c r="B92" s="24" t="n">
        <v>257</v>
      </c>
      <c r="C92" s="24" t="s">
        <v>473</v>
      </c>
      <c r="D92" s="24" t="s">
        <v>622</v>
      </c>
      <c r="E92" s="24" t="n">
        <v>1</v>
      </c>
      <c r="F92" s="24" t="s">
        <v>475</v>
      </c>
      <c r="G92" s="24" t="s">
        <v>510</v>
      </c>
      <c r="H92" s="24" t="s">
        <v>511</v>
      </c>
      <c r="I92" s="24" t="s">
        <v>623</v>
      </c>
      <c r="J92" s="36" t="s">
        <v>622</v>
      </c>
      <c r="M92" s="24" t="n">
        <v>380161918817.175</v>
      </c>
    </row>
    <row r="93" customFormat="false" ht="15" hidden="false" customHeight="true" outlineLevel="0" collapsed="false">
      <c r="A93" s="24" t="n">
        <v>177</v>
      </c>
      <c r="B93" s="24" t="n">
        <v>258</v>
      </c>
      <c r="C93" s="24" t="s">
        <v>473</v>
      </c>
      <c r="D93" s="24" t="s">
        <v>624</v>
      </c>
      <c r="E93" s="24" t="n">
        <v>1</v>
      </c>
      <c r="F93" s="24" t="s">
        <v>475</v>
      </c>
      <c r="G93" s="24" t="s">
        <v>510</v>
      </c>
      <c r="H93" s="24" t="s">
        <v>511</v>
      </c>
      <c r="I93" s="24" t="s">
        <v>623</v>
      </c>
      <c r="J93" s="36" t="s">
        <v>624</v>
      </c>
      <c r="M93" s="24" t="n">
        <v>20488533249.959</v>
      </c>
    </row>
    <row r="94" customFormat="false" ht="15" hidden="false" customHeight="true" outlineLevel="0" collapsed="false">
      <c r="A94" s="24" t="n">
        <v>178</v>
      </c>
      <c r="B94" s="24" t="n">
        <v>259</v>
      </c>
      <c r="C94" s="24" t="s">
        <v>473</v>
      </c>
      <c r="D94" s="24" t="s">
        <v>625</v>
      </c>
      <c r="E94" s="24" t="n">
        <v>1</v>
      </c>
      <c r="F94" s="24" t="s">
        <v>475</v>
      </c>
      <c r="G94" s="24" t="s">
        <v>510</v>
      </c>
      <c r="H94" s="24" t="s">
        <v>511</v>
      </c>
      <c r="I94" s="24" t="s">
        <v>620</v>
      </c>
      <c r="J94" s="36" t="s">
        <v>625</v>
      </c>
      <c r="M94" s="24" t="n">
        <v>281384523981.085</v>
      </c>
    </row>
    <row r="95" customFormat="false" ht="15" hidden="false" customHeight="true" outlineLevel="0" collapsed="false">
      <c r="A95" s="24" t="n">
        <v>179</v>
      </c>
      <c r="B95" s="24" t="n">
        <v>260</v>
      </c>
      <c r="C95" s="24" t="s">
        <v>473</v>
      </c>
      <c r="D95" s="24" t="s">
        <v>626</v>
      </c>
      <c r="E95" s="24" t="n">
        <v>1</v>
      </c>
      <c r="F95" s="24" t="s">
        <v>475</v>
      </c>
      <c r="G95" s="24" t="s">
        <v>510</v>
      </c>
      <c r="H95" s="24" t="s">
        <v>511</v>
      </c>
      <c r="I95" s="24" t="s">
        <v>627</v>
      </c>
      <c r="J95" s="36" t="s">
        <v>626</v>
      </c>
      <c r="M95" s="24" t="n">
        <v>221553532852.584</v>
      </c>
    </row>
    <row r="96" customFormat="false" ht="15" hidden="false" customHeight="true" outlineLevel="0" collapsed="false">
      <c r="A96" s="24" t="n">
        <v>180</v>
      </c>
      <c r="B96" s="24" t="n">
        <v>261</v>
      </c>
      <c r="C96" s="24" t="s">
        <v>473</v>
      </c>
      <c r="D96" s="24" t="s">
        <v>628</v>
      </c>
      <c r="E96" s="24" t="n">
        <v>1</v>
      </c>
      <c r="F96" s="24" t="s">
        <v>475</v>
      </c>
      <c r="G96" s="24" t="s">
        <v>510</v>
      </c>
      <c r="H96" s="24" t="s">
        <v>511</v>
      </c>
      <c r="I96" s="24" t="s">
        <v>629</v>
      </c>
      <c r="J96" s="36" t="s">
        <v>628</v>
      </c>
      <c r="M96" s="24" t="n">
        <v>192204603063.903</v>
      </c>
    </row>
    <row r="97" customFormat="false" ht="15" hidden="false" customHeight="true" outlineLevel="0" collapsed="false">
      <c r="A97" s="24" t="n">
        <v>181</v>
      </c>
      <c r="B97" s="24" t="n">
        <v>262</v>
      </c>
      <c r="C97" s="24" t="s">
        <v>473</v>
      </c>
      <c r="D97" s="24" t="s">
        <v>630</v>
      </c>
      <c r="E97" s="24" t="n">
        <v>1</v>
      </c>
      <c r="F97" s="24" t="s">
        <v>475</v>
      </c>
      <c r="G97" s="24" t="s">
        <v>510</v>
      </c>
      <c r="H97" s="24" t="s">
        <v>511</v>
      </c>
      <c r="I97" s="24" t="s">
        <v>512</v>
      </c>
      <c r="J97" s="36" t="s">
        <v>630</v>
      </c>
      <c r="M97" s="24" t="n">
        <v>1070537069066.22</v>
      </c>
    </row>
    <row r="98" customFormat="false" ht="15" hidden="false" customHeight="true" outlineLevel="0" collapsed="false">
      <c r="A98" s="24" t="n">
        <v>182</v>
      </c>
      <c r="B98" s="24" t="n">
        <v>263</v>
      </c>
      <c r="C98" s="24" t="s">
        <v>473</v>
      </c>
      <c r="D98" s="24" t="s">
        <v>631</v>
      </c>
      <c r="E98" s="24" t="n">
        <v>1</v>
      </c>
      <c r="F98" s="24" t="s">
        <v>475</v>
      </c>
      <c r="G98" s="24" t="s">
        <v>510</v>
      </c>
      <c r="H98" s="24" t="s">
        <v>511</v>
      </c>
      <c r="I98" s="24" t="s">
        <v>629</v>
      </c>
      <c r="J98" s="36" t="s">
        <v>631</v>
      </c>
      <c r="M98" s="24" t="n">
        <v>378761117704.062</v>
      </c>
    </row>
    <row r="99" customFormat="false" ht="15" hidden="false" customHeight="true" outlineLevel="0" collapsed="false">
      <c r="A99" s="24" t="n">
        <v>183</v>
      </c>
      <c r="B99" s="24" t="n">
        <v>264</v>
      </c>
      <c r="C99" s="24" t="s">
        <v>473</v>
      </c>
      <c r="D99" s="24" t="s">
        <v>632</v>
      </c>
      <c r="E99" s="24" t="n">
        <v>1</v>
      </c>
      <c r="F99" s="24" t="s">
        <v>475</v>
      </c>
      <c r="G99" s="24" t="s">
        <v>510</v>
      </c>
      <c r="H99" s="24" t="s">
        <v>511</v>
      </c>
      <c r="I99" s="24" t="s">
        <v>633</v>
      </c>
      <c r="J99" s="36" t="s">
        <v>632</v>
      </c>
      <c r="M99" s="24" t="n">
        <v>673865498249.82</v>
      </c>
    </row>
    <row r="100" customFormat="false" ht="15" hidden="false" customHeight="true" outlineLevel="0" collapsed="false">
      <c r="A100" s="24" t="n">
        <v>184</v>
      </c>
      <c r="B100" s="24" t="n">
        <v>265</v>
      </c>
      <c r="C100" s="24" t="s">
        <v>473</v>
      </c>
      <c r="D100" s="24" t="s">
        <v>634</v>
      </c>
      <c r="E100" s="24" t="n">
        <v>1</v>
      </c>
      <c r="F100" s="24" t="s">
        <v>475</v>
      </c>
      <c r="G100" s="24" t="s">
        <v>510</v>
      </c>
      <c r="H100" s="24" t="s">
        <v>511</v>
      </c>
      <c r="I100" s="24" t="s">
        <v>635</v>
      </c>
      <c r="J100" s="36" t="s">
        <v>634</v>
      </c>
      <c r="M100" s="24" t="n">
        <v>1432904033316.61</v>
      </c>
    </row>
    <row r="101" customFormat="false" ht="15" hidden="false" customHeight="true" outlineLevel="0" collapsed="false">
      <c r="A101" s="24" t="n">
        <v>185</v>
      </c>
      <c r="B101" s="24" t="n">
        <v>266</v>
      </c>
      <c r="C101" s="24" t="s">
        <v>473</v>
      </c>
      <c r="D101" s="24" t="s">
        <v>636</v>
      </c>
      <c r="E101" s="24" t="n">
        <v>1</v>
      </c>
      <c r="F101" s="24" t="s">
        <v>475</v>
      </c>
      <c r="G101" s="24" t="s">
        <v>510</v>
      </c>
      <c r="H101" s="24" t="s">
        <v>511</v>
      </c>
      <c r="I101" s="24" t="s">
        <v>635</v>
      </c>
      <c r="J101" s="36" t="s">
        <v>636</v>
      </c>
      <c r="M101" s="24" t="n">
        <v>1125175349493.09</v>
      </c>
    </row>
    <row r="102" customFormat="false" ht="15" hidden="false" customHeight="true" outlineLevel="0" collapsed="false">
      <c r="A102" s="24" t="n">
        <v>186</v>
      </c>
      <c r="B102" s="24" t="n">
        <v>267</v>
      </c>
      <c r="C102" s="24" t="s">
        <v>473</v>
      </c>
      <c r="D102" s="24" t="s">
        <v>637</v>
      </c>
      <c r="E102" s="24" t="n">
        <v>1</v>
      </c>
      <c r="F102" s="24" t="s">
        <v>475</v>
      </c>
      <c r="G102" s="24" t="s">
        <v>510</v>
      </c>
      <c r="H102" s="24" t="s">
        <v>511</v>
      </c>
      <c r="I102" s="24" t="s">
        <v>638</v>
      </c>
      <c r="J102" s="36" t="s">
        <v>637</v>
      </c>
      <c r="M102" s="24" t="n">
        <v>66867090358.8958</v>
      </c>
    </row>
    <row r="103" customFormat="false" ht="15" hidden="false" customHeight="true" outlineLevel="0" collapsed="false">
      <c r="A103" s="24" t="n">
        <v>187</v>
      </c>
      <c r="B103" s="24" t="n">
        <v>268</v>
      </c>
      <c r="C103" s="24" t="s">
        <v>473</v>
      </c>
      <c r="D103" s="24" t="s">
        <v>639</v>
      </c>
      <c r="E103" s="24" t="n">
        <v>1</v>
      </c>
      <c r="F103" s="24" t="s">
        <v>475</v>
      </c>
      <c r="G103" s="24" t="s">
        <v>510</v>
      </c>
      <c r="H103" s="24" t="s">
        <v>511</v>
      </c>
      <c r="I103" s="24" t="s">
        <v>633</v>
      </c>
      <c r="J103" s="36" t="s">
        <v>639</v>
      </c>
      <c r="M103" s="24" t="n">
        <v>660096564456.206</v>
      </c>
    </row>
    <row r="104" customFormat="false" ht="15" hidden="false" customHeight="true" outlineLevel="0" collapsed="false">
      <c r="A104" s="24" t="n">
        <v>188</v>
      </c>
      <c r="B104" s="24" t="n">
        <v>269</v>
      </c>
      <c r="C104" s="24" t="s">
        <v>473</v>
      </c>
      <c r="D104" s="24" t="s">
        <v>640</v>
      </c>
      <c r="E104" s="24" t="n">
        <v>1</v>
      </c>
      <c r="F104" s="24" t="s">
        <v>475</v>
      </c>
      <c r="G104" s="24" t="s">
        <v>510</v>
      </c>
      <c r="H104" s="24" t="s">
        <v>511</v>
      </c>
      <c r="I104" s="24" t="s">
        <v>613</v>
      </c>
      <c r="J104" s="36" t="s">
        <v>640</v>
      </c>
      <c r="M104" s="24" t="n">
        <v>56394287388.0474</v>
      </c>
    </row>
    <row r="105" customFormat="false" ht="15" hidden="false" customHeight="true" outlineLevel="0" collapsed="false">
      <c r="A105" s="24" t="n">
        <v>189</v>
      </c>
      <c r="B105" s="24" t="n">
        <v>270</v>
      </c>
      <c r="C105" s="24" t="s">
        <v>473</v>
      </c>
      <c r="D105" s="24" t="s">
        <v>641</v>
      </c>
      <c r="E105" s="24" t="n">
        <v>1</v>
      </c>
      <c r="F105" s="24" t="s">
        <v>475</v>
      </c>
      <c r="G105" s="24" t="s">
        <v>510</v>
      </c>
      <c r="H105" s="24" t="s">
        <v>511</v>
      </c>
      <c r="I105" s="24" t="s">
        <v>613</v>
      </c>
      <c r="J105" s="36" t="s">
        <v>641</v>
      </c>
      <c r="M105" s="24" t="n">
        <v>33233430849.1625</v>
      </c>
    </row>
    <row r="106" customFormat="false" ht="15" hidden="false" customHeight="true" outlineLevel="0" collapsed="false">
      <c r="A106" s="24" t="n">
        <v>190</v>
      </c>
      <c r="B106" s="24" t="n">
        <v>271</v>
      </c>
      <c r="C106" s="24" t="s">
        <v>473</v>
      </c>
      <c r="D106" s="24" t="s">
        <v>642</v>
      </c>
      <c r="E106" s="24" t="n">
        <v>1</v>
      </c>
      <c r="F106" s="24" t="s">
        <v>475</v>
      </c>
      <c r="G106" s="24" t="s">
        <v>510</v>
      </c>
      <c r="H106" s="24" t="s">
        <v>511</v>
      </c>
      <c r="I106" s="24" t="s">
        <v>627</v>
      </c>
      <c r="J106" s="36" t="s">
        <v>642</v>
      </c>
      <c r="M106" s="24" t="n">
        <v>237092006623.622</v>
      </c>
    </row>
    <row r="107" customFormat="false" ht="15" hidden="false" customHeight="true" outlineLevel="0" collapsed="false">
      <c r="A107" s="24" t="n">
        <v>198</v>
      </c>
      <c r="B107" s="24" t="n">
        <v>272</v>
      </c>
      <c r="C107" s="24" t="s">
        <v>473</v>
      </c>
      <c r="D107" s="24" t="s">
        <v>643</v>
      </c>
      <c r="E107" s="24" t="n">
        <v>1</v>
      </c>
      <c r="F107" s="24" t="s">
        <v>475</v>
      </c>
      <c r="G107" s="24" t="s">
        <v>510</v>
      </c>
      <c r="H107" s="24" t="s">
        <v>511</v>
      </c>
      <c r="I107" s="24" t="s">
        <v>613</v>
      </c>
      <c r="J107" s="36" t="s">
        <v>643</v>
      </c>
      <c r="M107" s="24" t="n">
        <v>35977798773.6381</v>
      </c>
    </row>
    <row r="108" customFormat="false" ht="15" hidden="false" customHeight="true" outlineLevel="0" collapsed="false">
      <c r="A108" s="24" t="n">
        <v>199</v>
      </c>
      <c r="B108" s="24" t="n">
        <v>273</v>
      </c>
      <c r="C108" s="24" t="s">
        <v>473</v>
      </c>
      <c r="D108" s="24" t="s">
        <v>644</v>
      </c>
      <c r="E108" s="24" t="n">
        <v>1</v>
      </c>
      <c r="F108" s="24" t="s">
        <v>475</v>
      </c>
      <c r="G108" s="24" t="s">
        <v>510</v>
      </c>
      <c r="H108" s="24" t="s">
        <v>511</v>
      </c>
      <c r="I108" s="24" t="s">
        <v>613</v>
      </c>
      <c r="J108" s="36" t="s">
        <v>644</v>
      </c>
      <c r="M108" s="24" t="n">
        <v>50225031975.4035</v>
      </c>
    </row>
    <row r="109" customFormat="false" ht="15" hidden="false" customHeight="true" outlineLevel="0" collapsed="false">
      <c r="A109" s="24" t="n">
        <v>200</v>
      </c>
      <c r="B109" s="24" t="n">
        <v>274</v>
      </c>
      <c r="C109" s="24" t="s">
        <v>473</v>
      </c>
      <c r="D109" s="24" t="s">
        <v>645</v>
      </c>
      <c r="E109" s="24" t="n">
        <v>1</v>
      </c>
      <c r="F109" s="24" t="s">
        <v>475</v>
      </c>
      <c r="G109" s="24" t="s">
        <v>510</v>
      </c>
      <c r="H109" s="24" t="s">
        <v>511</v>
      </c>
      <c r="I109" s="24" t="s">
        <v>620</v>
      </c>
      <c r="J109" s="36" t="s">
        <v>645</v>
      </c>
      <c r="M109" s="24" t="n">
        <v>269900335719.766</v>
      </c>
    </row>
    <row r="110" customFormat="false" ht="15" hidden="false" customHeight="true" outlineLevel="0" collapsed="false">
      <c r="A110" s="24" t="n">
        <v>201</v>
      </c>
      <c r="B110" s="24" t="n">
        <v>275</v>
      </c>
      <c r="C110" s="24" t="s">
        <v>473</v>
      </c>
      <c r="D110" s="24" t="s">
        <v>646</v>
      </c>
      <c r="E110" s="24" t="n">
        <v>1</v>
      </c>
      <c r="F110" s="24" t="s">
        <v>475</v>
      </c>
      <c r="G110" s="24" t="s">
        <v>510</v>
      </c>
      <c r="H110" s="24" t="s">
        <v>511</v>
      </c>
      <c r="I110" s="24" t="s">
        <v>638</v>
      </c>
      <c r="J110" s="36" t="s">
        <v>646</v>
      </c>
      <c r="M110" s="24" t="n">
        <v>1557131414660.24</v>
      </c>
    </row>
    <row r="111" customFormat="false" ht="15" hidden="false" customHeight="true" outlineLevel="0" collapsed="false">
      <c r="A111" s="24" t="n">
        <v>202</v>
      </c>
      <c r="B111" s="24" t="n">
        <v>277</v>
      </c>
      <c r="C111" s="24" t="s">
        <v>473</v>
      </c>
      <c r="D111" s="24" t="s">
        <v>647</v>
      </c>
      <c r="E111" s="24" t="n">
        <v>1</v>
      </c>
      <c r="F111" s="24" t="s">
        <v>475</v>
      </c>
      <c r="G111" s="24" t="s">
        <v>510</v>
      </c>
      <c r="H111" s="24" t="s">
        <v>511</v>
      </c>
      <c r="I111" s="24" t="s">
        <v>623</v>
      </c>
      <c r="J111" s="36" t="s">
        <v>647</v>
      </c>
      <c r="M111" s="24" t="n">
        <v>54943741725.1642</v>
      </c>
    </row>
    <row r="112" customFormat="false" ht="15" hidden="false" customHeight="true" outlineLevel="0" collapsed="false">
      <c r="A112" s="24" t="n">
        <v>206</v>
      </c>
      <c r="B112" s="24" t="n">
        <v>217</v>
      </c>
      <c r="C112" s="24" t="s">
        <v>473</v>
      </c>
      <c r="D112" s="24" t="s">
        <v>648</v>
      </c>
      <c r="E112" s="24" t="n">
        <v>1</v>
      </c>
      <c r="F112" s="24" t="s">
        <v>475</v>
      </c>
      <c r="G112" s="24" t="s">
        <v>510</v>
      </c>
      <c r="H112" s="24" t="s">
        <v>511</v>
      </c>
      <c r="I112" s="24" t="s">
        <v>602</v>
      </c>
      <c r="J112" s="36" t="s">
        <v>648</v>
      </c>
      <c r="M112" s="24" t="n">
        <v>181908371177.449</v>
      </c>
    </row>
    <row r="113" customFormat="false" ht="15" hidden="false" customHeight="true" outlineLevel="0" collapsed="false">
      <c r="A113" s="24" t="n">
        <v>207</v>
      </c>
      <c r="B113" s="24" t="n">
        <v>218</v>
      </c>
      <c r="C113" s="24" t="s">
        <v>473</v>
      </c>
      <c r="D113" s="24" t="s">
        <v>649</v>
      </c>
      <c r="E113" s="24" t="n">
        <v>1</v>
      </c>
      <c r="F113" s="24" t="s">
        <v>475</v>
      </c>
      <c r="G113" s="24" t="s">
        <v>510</v>
      </c>
      <c r="H113" s="24" t="s">
        <v>582</v>
      </c>
      <c r="I113" s="24" t="s">
        <v>590</v>
      </c>
      <c r="J113" s="36" t="s">
        <v>649</v>
      </c>
      <c r="M113" s="24" t="n">
        <v>283002571984.782</v>
      </c>
    </row>
    <row r="114" customFormat="false" ht="15" hidden="false" customHeight="true" outlineLevel="0" collapsed="false">
      <c r="A114" s="24" t="n">
        <v>208</v>
      </c>
      <c r="B114" s="24" t="n">
        <v>219</v>
      </c>
      <c r="C114" s="24" t="s">
        <v>473</v>
      </c>
      <c r="D114" s="24" t="s">
        <v>650</v>
      </c>
      <c r="E114" s="24" t="n">
        <v>1</v>
      </c>
      <c r="F114" s="24" t="s">
        <v>475</v>
      </c>
      <c r="G114" s="24" t="s">
        <v>510</v>
      </c>
      <c r="H114" s="24" t="s">
        <v>582</v>
      </c>
      <c r="I114" s="24" t="s">
        <v>651</v>
      </c>
      <c r="J114" s="36" t="s">
        <v>650</v>
      </c>
      <c r="M114" s="24" t="n">
        <v>369835370887.035</v>
      </c>
    </row>
    <row r="115" customFormat="false" ht="15" hidden="false" customHeight="true" outlineLevel="0" collapsed="false">
      <c r="A115" s="24" t="n">
        <v>209</v>
      </c>
      <c r="B115" s="24" t="n">
        <v>220</v>
      </c>
      <c r="C115" s="24" t="s">
        <v>473</v>
      </c>
      <c r="D115" s="24" t="s">
        <v>652</v>
      </c>
      <c r="E115" s="24" t="n">
        <v>1</v>
      </c>
      <c r="F115" s="24" t="s">
        <v>475</v>
      </c>
      <c r="G115" s="24" t="s">
        <v>510</v>
      </c>
      <c r="H115" s="24" t="s">
        <v>582</v>
      </c>
      <c r="I115" s="24" t="s">
        <v>653</v>
      </c>
      <c r="J115" s="36" t="s">
        <v>652</v>
      </c>
      <c r="M115" s="24" t="n">
        <v>175083893789.708</v>
      </c>
    </row>
    <row r="116" customFormat="false" ht="15" hidden="false" customHeight="true" outlineLevel="0" collapsed="false">
      <c r="A116" s="24" t="n">
        <v>210</v>
      </c>
      <c r="B116" s="24" t="n">
        <v>221</v>
      </c>
      <c r="C116" s="24" t="s">
        <v>473</v>
      </c>
      <c r="D116" s="24" t="s">
        <v>654</v>
      </c>
      <c r="E116" s="24" t="n">
        <v>1</v>
      </c>
      <c r="F116" s="24" t="s">
        <v>475</v>
      </c>
      <c r="G116" s="24" t="s">
        <v>510</v>
      </c>
      <c r="H116" s="24" t="s">
        <v>582</v>
      </c>
      <c r="I116" s="24" t="s">
        <v>655</v>
      </c>
      <c r="J116" s="36" t="s">
        <v>654</v>
      </c>
      <c r="M116" s="24" t="n">
        <v>117788977881.277</v>
      </c>
    </row>
    <row r="117" customFormat="false" ht="15" hidden="false" customHeight="true" outlineLevel="0" collapsed="false">
      <c r="A117" s="24" t="n">
        <v>211</v>
      </c>
      <c r="B117" s="24" t="n">
        <v>222</v>
      </c>
      <c r="C117" s="24" t="s">
        <v>473</v>
      </c>
      <c r="D117" s="24" t="s">
        <v>656</v>
      </c>
      <c r="E117" s="24" t="n">
        <v>1</v>
      </c>
      <c r="F117" s="24" t="s">
        <v>475</v>
      </c>
      <c r="G117" s="24" t="s">
        <v>510</v>
      </c>
      <c r="H117" s="24" t="s">
        <v>582</v>
      </c>
      <c r="I117" s="24" t="s">
        <v>655</v>
      </c>
      <c r="J117" s="36" t="s">
        <v>656</v>
      </c>
      <c r="M117" s="24" t="n">
        <v>197525517168.906</v>
      </c>
    </row>
    <row r="118" customFormat="false" ht="15" hidden="false" customHeight="true" outlineLevel="0" collapsed="false">
      <c r="A118" s="24" t="n">
        <v>212</v>
      </c>
      <c r="B118" s="24" t="n">
        <v>223</v>
      </c>
      <c r="C118" s="24" t="s">
        <v>473</v>
      </c>
      <c r="D118" s="24" t="s">
        <v>657</v>
      </c>
      <c r="E118" s="24" t="n">
        <v>1</v>
      </c>
      <c r="F118" s="24" t="s">
        <v>475</v>
      </c>
      <c r="G118" s="24" t="s">
        <v>510</v>
      </c>
      <c r="H118" s="24" t="s">
        <v>582</v>
      </c>
      <c r="I118" s="24" t="s">
        <v>655</v>
      </c>
      <c r="J118" s="36" t="s">
        <v>657</v>
      </c>
      <c r="M118" s="24" t="n">
        <v>197525517168.906</v>
      </c>
    </row>
    <row r="119" customFormat="false" ht="15" hidden="false" customHeight="true" outlineLevel="0" collapsed="false">
      <c r="A119" s="24" t="n">
        <v>213</v>
      </c>
      <c r="B119" s="24" t="n">
        <v>224</v>
      </c>
      <c r="C119" s="24" t="s">
        <v>473</v>
      </c>
      <c r="D119" s="24" t="s">
        <v>658</v>
      </c>
      <c r="E119" s="24" t="n">
        <v>1</v>
      </c>
      <c r="F119" s="24" t="s">
        <v>475</v>
      </c>
      <c r="G119" s="24" t="s">
        <v>510</v>
      </c>
      <c r="H119" s="24" t="s">
        <v>582</v>
      </c>
      <c r="I119" s="24" t="s">
        <v>655</v>
      </c>
      <c r="J119" s="36" t="s">
        <v>658</v>
      </c>
      <c r="M119" s="24" t="n">
        <v>197525517168.906</v>
      </c>
    </row>
    <row r="120" customFormat="false" ht="15" hidden="false" customHeight="true" outlineLevel="0" collapsed="false">
      <c r="A120" s="24" t="n">
        <v>214</v>
      </c>
      <c r="B120" s="24" t="n">
        <v>225</v>
      </c>
      <c r="C120" s="24" t="s">
        <v>473</v>
      </c>
      <c r="D120" s="24" t="s">
        <v>659</v>
      </c>
      <c r="E120" s="24" t="n">
        <v>1</v>
      </c>
      <c r="F120" s="24" t="s">
        <v>475</v>
      </c>
      <c r="G120" s="24" t="s">
        <v>510</v>
      </c>
      <c r="H120" s="24" t="s">
        <v>582</v>
      </c>
      <c r="I120" s="24" t="s">
        <v>655</v>
      </c>
      <c r="J120" s="36" t="s">
        <v>659</v>
      </c>
      <c r="M120" s="24" t="n">
        <v>197525517168.906</v>
      </c>
    </row>
    <row r="121" customFormat="false" ht="15" hidden="false" customHeight="true" outlineLevel="0" collapsed="false">
      <c r="A121" s="24" t="n">
        <v>215</v>
      </c>
      <c r="B121" s="24" t="n">
        <v>226</v>
      </c>
      <c r="C121" s="24" t="s">
        <v>473</v>
      </c>
      <c r="D121" s="24" t="s">
        <v>660</v>
      </c>
      <c r="E121" s="24" t="n">
        <v>1</v>
      </c>
      <c r="F121" s="24" t="s">
        <v>475</v>
      </c>
      <c r="G121" s="24" t="s">
        <v>510</v>
      </c>
      <c r="H121" s="24" t="s">
        <v>582</v>
      </c>
      <c r="I121" s="24" t="s">
        <v>655</v>
      </c>
      <c r="J121" s="36" t="s">
        <v>660</v>
      </c>
      <c r="M121" s="24" t="n">
        <v>316040828249.813</v>
      </c>
    </row>
    <row r="122" customFormat="false" ht="15" hidden="false" customHeight="true" outlineLevel="0" collapsed="false">
      <c r="A122" s="24" t="n">
        <v>216</v>
      </c>
      <c r="B122" s="24" t="n">
        <v>227</v>
      </c>
      <c r="C122" s="24" t="s">
        <v>473</v>
      </c>
      <c r="D122" s="24" t="s">
        <v>661</v>
      </c>
      <c r="E122" s="24" t="n">
        <v>1</v>
      </c>
      <c r="F122" s="24" t="s">
        <v>475</v>
      </c>
      <c r="G122" s="24" t="s">
        <v>510</v>
      </c>
      <c r="H122" s="24" t="s">
        <v>582</v>
      </c>
      <c r="I122" s="24" t="s">
        <v>662</v>
      </c>
      <c r="J122" s="36" t="s">
        <v>661</v>
      </c>
      <c r="M122" s="24" t="n">
        <v>347878663095.669</v>
      </c>
    </row>
    <row r="123" customFormat="false" ht="15" hidden="false" customHeight="true" outlineLevel="0" collapsed="false">
      <c r="A123" s="24" t="n">
        <v>217</v>
      </c>
      <c r="B123" s="24" t="n">
        <v>228</v>
      </c>
      <c r="C123" s="24" t="s">
        <v>473</v>
      </c>
      <c r="D123" s="24" t="s">
        <v>663</v>
      </c>
      <c r="E123" s="24" t="n">
        <v>1</v>
      </c>
      <c r="F123" s="24" t="s">
        <v>475</v>
      </c>
      <c r="G123" s="24" t="s">
        <v>510</v>
      </c>
      <c r="H123" s="24" t="s">
        <v>582</v>
      </c>
      <c r="I123" s="24" t="s">
        <v>583</v>
      </c>
      <c r="J123" s="36" t="s">
        <v>663</v>
      </c>
      <c r="M123" s="24" t="n">
        <v>308877577184.931</v>
      </c>
    </row>
    <row r="124" customFormat="false" ht="15" hidden="false" customHeight="true" outlineLevel="0" collapsed="false">
      <c r="A124" s="24" t="n">
        <v>218</v>
      </c>
      <c r="B124" s="24" t="n">
        <v>229</v>
      </c>
      <c r="C124" s="24" t="s">
        <v>473</v>
      </c>
      <c r="D124" s="24" t="s">
        <v>664</v>
      </c>
      <c r="E124" s="24" t="n">
        <v>1</v>
      </c>
      <c r="F124" s="24" t="s">
        <v>475</v>
      </c>
      <c r="G124" s="24" t="s">
        <v>510</v>
      </c>
      <c r="H124" s="24" t="s">
        <v>582</v>
      </c>
      <c r="I124" s="24" t="s">
        <v>583</v>
      </c>
      <c r="J124" s="36" t="s">
        <v>664</v>
      </c>
      <c r="M124" s="24" t="n">
        <v>64571421054.9722</v>
      </c>
    </row>
    <row r="125" customFormat="false" ht="15" hidden="false" customHeight="true" outlineLevel="0" collapsed="false">
      <c r="A125" s="24" t="n">
        <v>219</v>
      </c>
      <c r="B125" s="24" t="n">
        <v>230</v>
      </c>
      <c r="C125" s="24" t="s">
        <v>473</v>
      </c>
      <c r="D125" s="24" t="s">
        <v>665</v>
      </c>
      <c r="E125" s="24" t="n">
        <v>1</v>
      </c>
      <c r="F125" s="24" t="s">
        <v>475</v>
      </c>
      <c r="G125" s="24" t="s">
        <v>510</v>
      </c>
      <c r="H125" s="24" t="s">
        <v>582</v>
      </c>
      <c r="I125" s="24" t="s">
        <v>662</v>
      </c>
      <c r="J125" s="36" t="s">
        <v>665</v>
      </c>
      <c r="M125" s="24" t="n">
        <v>234167270163.61</v>
      </c>
    </row>
    <row r="126" customFormat="false" ht="15" hidden="false" customHeight="true" outlineLevel="0" collapsed="false">
      <c r="A126" s="24" t="n">
        <v>220</v>
      </c>
      <c r="B126" s="24" t="n">
        <v>231</v>
      </c>
      <c r="C126" s="24" t="s">
        <v>473</v>
      </c>
      <c r="D126" s="24" t="s">
        <v>666</v>
      </c>
      <c r="E126" s="24" t="n">
        <v>1</v>
      </c>
      <c r="F126" s="24" t="s">
        <v>475</v>
      </c>
      <c r="G126" s="24" t="s">
        <v>510</v>
      </c>
      <c r="H126" s="24" t="s">
        <v>582</v>
      </c>
      <c r="I126" s="24" t="s">
        <v>583</v>
      </c>
      <c r="J126" s="36" t="s">
        <v>666</v>
      </c>
      <c r="M126" s="24" t="n">
        <v>55224442104.4672</v>
      </c>
    </row>
    <row r="127" customFormat="false" ht="15" hidden="false" customHeight="true" outlineLevel="0" collapsed="false">
      <c r="A127" s="24" t="n">
        <v>221</v>
      </c>
      <c r="B127" s="24" t="n">
        <v>232</v>
      </c>
      <c r="C127" s="24" t="s">
        <v>473</v>
      </c>
      <c r="D127" s="24" t="s">
        <v>667</v>
      </c>
      <c r="E127" s="24" t="n">
        <v>1</v>
      </c>
      <c r="F127" s="24" t="s">
        <v>475</v>
      </c>
      <c r="G127" s="24" t="s">
        <v>510</v>
      </c>
      <c r="H127" s="24" t="s">
        <v>582</v>
      </c>
      <c r="I127" s="24" t="s">
        <v>651</v>
      </c>
      <c r="J127" s="36" t="s">
        <v>667</v>
      </c>
      <c r="M127" s="24" t="n">
        <v>237335203773.123</v>
      </c>
    </row>
    <row r="128" customFormat="false" ht="15" hidden="false" customHeight="true" outlineLevel="0" collapsed="false">
      <c r="A128" s="24" t="n">
        <v>222</v>
      </c>
      <c r="B128" s="24" t="n">
        <v>233</v>
      </c>
      <c r="C128" s="24" t="s">
        <v>473</v>
      </c>
      <c r="D128" s="24" t="s">
        <v>668</v>
      </c>
      <c r="E128" s="24" t="n">
        <v>1</v>
      </c>
      <c r="F128" s="24" t="s">
        <v>475</v>
      </c>
      <c r="G128" s="24" t="s">
        <v>510</v>
      </c>
      <c r="H128" s="24" t="s">
        <v>582</v>
      </c>
      <c r="I128" s="24" t="s">
        <v>651</v>
      </c>
      <c r="J128" s="36" t="s">
        <v>668</v>
      </c>
      <c r="M128" s="24" t="n">
        <v>83188988724.9878</v>
      </c>
    </row>
    <row r="129" customFormat="false" ht="15" hidden="false" customHeight="true" outlineLevel="0" collapsed="false">
      <c r="A129" s="24" t="n">
        <v>223</v>
      </c>
      <c r="B129" s="24" t="n">
        <v>234</v>
      </c>
      <c r="C129" s="24" t="s">
        <v>473</v>
      </c>
      <c r="D129" s="24" t="s">
        <v>669</v>
      </c>
      <c r="E129" s="24" t="n">
        <v>1</v>
      </c>
      <c r="F129" s="24" t="s">
        <v>475</v>
      </c>
      <c r="G129" s="24" t="s">
        <v>510</v>
      </c>
      <c r="H129" s="24" t="s">
        <v>582</v>
      </c>
      <c r="I129" s="24" t="s">
        <v>590</v>
      </c>
      <c r="J129" s="36" t="s">
        <v>669</v>
      </c>
      <c r="M129" s="24" t="n">
        <v>323510181895.84</v>
      </c>
    </row>
    <row r="130" customFormat="false" ht="15" hidden="false" customHeight="true" outlineLevel="0" collapsed="false">
      <c r="A130" s="24" t="n">
        <v>224</v>
      </c>
      <c r="B130" s="24" t="n">
        <v>235</v>
      </c>
      <c r="C130" s="24" t="s">
        <v>473</v>
      </c>
      <c r="D130" s="24" t="s">
        <v>670</v>
      </c>
      <c r="E130" s="24" t="n">
        <v>1</v>
      </c>
      <c r="F130" s="24" t="s">
        <v>475</v>
      </c>
      <c r="G130" s="24" t="s">
        <v>510</v>
      </c>
      <c r="H130" s="24" t="s">
        <v>582</v>
      </c>
      <c r="I130" s="24" t="s">
        <v>586</v>
      </c>
      <c r="J130" s="36" t="s">
        <v>670</v>
      </c>
      <c r="M130" s="24" t="n">
        <v>283644209388.611</v>
      </c>
    </row>
    <row r="131" customFormat="false" ht="15" hidden="false" customHeight="true" outlineLevel="0" collapsed="false">
      <c r="A131" s="24" t="n">
        <v>225</v>
      </c>
      <c r="B131" s="24" t="n">
        <v>236</v>
      </c>
      <c r="C131" s="24" t="s">
        <v>473</v>
      </c>
      <c r="D131" s="24" t="s">
        <v>671</v>
      </c>
      <c r="E131" s="24" t="n">
        <v>1</v>
      </c>
      <c r="F131" s="24" t="s">
        <v>475</v>
      </c>
      <c r="G131" s="24" t="s">
        <v>510</v>
      </c>
      <c r="H131" s="24" t="s">
        <v>582</v>
      </c>
      <c r="I131" s="24" t="s">
        <v>655</v>
      </c>
      <c r="J131" s="36" t="s">
        <v>671</v>
      </c>
      <c r="M131" s="24" t="n">
        <v>48859563881.077</v>
      </c>
    </row>
    <row r="132" customFormat="false" ht="15" hidden="false" customHeight="true" outlineLevel="0" collapsed="false">
      <c r="A132" s="24" t="n">
        <v>226</v>
      </c>
      <c r="B132" s="24" t="n">
        <v>237</v>
      </c>
      <c r="C132" s="24" t="s">
        <v>473</v>
      </c>
      <c r="D132" s="24" t="s">
        <v>672</v>
      </c>
      <c r="E132" s="24" t="n">
        <v>1</v>
      </c>
      <c r="F132" s="24" t="s">
        <v>475</v>
      </c>
      <c r="G132" s="24" t="s">
        <v>510</v>
      </c>
      <c r="H132" s="24" t="s">
        <v>582</v>
      </c>
      <c r="I132" s="24" t="s">
        <v>655</v>
      </c>
      <c r="J132" s="36" t="s">
        <v>672</v>
      </c>
      <c r="M132" s="24" t="n">
        <v>123208527386.939</v>
      </c>
    </row>
    <row r="133" customFormat="false" ht="15" hidden="false" customHeight="true" outlineLevel="0" collapsed="false">
      <c r="A133" s="24" t="n">
        <v>227</v>
      </c>
      <c r="B133" s="24" t="n">
        <v>238</v>
      </c>
      <c r="C133" s="24" t="s">
        <v>473</v>
      </c>
      <c r="D133" s="24" t="s">
        <v>673</v>
      </c>
      <c r="E133" s="24" t="n">
        <v>1</v>
      </c>
      <c r="F133" s="24" t="s">
        <v>475</v>
      </c>
      <c r="G133" s="24" t="s">
        <v>510</v>
      </c>
      <c r="H133" s="24" t="s">
        <v>582</v>
      </c>
      <c r="I133" s="24" t="s">
        <v>651</v>
      </c>
      <c r="J133" s="36" t="s">
        <v>673</v>
      </c>
      <c r="M133" s="24" t="n">
        <v>41032406056.9708</v>
      </c>
    </row>
    <row r="134" customFormat="false" ht="15" hidden="false" customHeight="true" outlineLevel="0" collapsed="false">
      <c r="A134" s="24" t="n">
        <v>228</v>
      </c>
      <c r="B134" s="24" t="n">
        <v>239</v>
      </c>
      <c r="C134" s="24" t="s">
        <v>473</v>
      </c>
      <c r="D134" s="24" t="s">
        <v>674</v>
      </c>
      <c r="E134" s="24" t="n">
        <v>1</v>
      </c>
      <c r="F134" s="24" t="s">
        <v>475</v>
      </c>
      <c r="G134" s="24" t="s">
        <v>510</v>
      </c>
      <c r="H134" s="24" t="s">
        <v>582</v>
      </c>
      <c r="I134" s="24" t="s">
        <v>590</v>
      </c>
      <c r="J134" s="36" t="s">
        <v>674</v>
      </c>
      <c r="M134" s="24" t="n">
        <v>191421664789.124</v>
      </c>
    </row>
    <row r="135" customFormat="false" ht="15" hidden="false" customHeight="true" outlineLevel="0" collapsed="false">
      <c r="A135" s="24" t="n">
        <v>229</v>
      </c>
      <c r="B135" s="24" t="n">
        <v>240</v>
      </c>
      <c r="C135" s="24" t="s">
        <v>473</v>
      </c>
      <c r="D135" s="24" t="s">
        <v>675</v>
      </c>
      <c r="E135" s="24" t="n">
        <v>1</v>
      </c>
      <c r="F135" s="24" t="s">
        <v>475</v>
      </c>
      <c r="G135" s="24" t="s">
        <v>510</v>
      </c>
      <c r="H135" s="24" t="s">
        <v>582</v>
      </c>
      <c r="I135" s="24" t="s">
        <v>590</v>
      </c>
      <c r="J135" s="36" t="s">
        <v>675</v>
      </c>
      <c r="M135" s="24" t="n">
        <v>101973747281.634</v>
      </c>
    </row>
    <row r="136" customFormat="false" ht="15" hidden="false" customHeight="true" outlineLevel="0" collapsed="false">
      <c r="A136" s="24" t="n">
        <v>230</v>
      </c>
      <c r="B136" s="24" t="n">
        <v>241</v>
      </c>
      <c r="C136" s="24" t="s">
        <v>473</v>
      </c>
      <c r="D136" s="24" t="s">
        <v>676</v>
      </c>
      <c r="E136" s="24" t="n">
        <v>1</v>
      </c>
      <c r="F136" s="24" t="s">
        <v>475</v>
      </c>
      <c r="G136" s="24" t="s">
        <v>510</v>
      </c>
      <c r="H136" s="24" t="s">
        <v>582</v>
      </c>
      <c r="I136" s="24" t="s">
        <v>651</v>
      </c>
      <c r="J136" s="36" t="s">
        <v>676</v>
      </c>
      <c r="M136" s="24" t="n">
        <v>154258864117.316</v>
      </c>
    </row>
    <row r="137" customFormat="false" ht="15" hidden="false" customHeight="true" outlineLevel="0" collapsed="false">
      <c r="A137" s="24" t="n">
        <v>231</v>
      </c>
      <c r="B137" s="24" t="n">
        <v>242</v>
      </c>
      <c r="C137" s="24" t="s">
        <v>473</v>
      </c>
      <c r="D137" s="24" t="s">
        <v>677</v>
      </c>
      <c r="E137" s="24" t="n">
        <v>1</v>
      </c>
      <c r="F137" s="24" t="s">
        <v>475</v>
      </c>
      <c r="G137" s="24" t="s">
        <v>510</v>
      </c>
      <c r="H137" s="24" t="s">
        <v>582</v>
      </c>
      <c r="I137" s="24" t="s">
        <v>653</v>
      </c>
      <c r="J137" s="36" t="s">
        <v>677</v>
      </c>
      <c r="M137" s="24" t="n">
        <v>58396273396.5652</v>
      </c>
    </row>
    <row r="138" customFormat="false" ht="15" hidden="false" customHeight="true" outlineLevel="0" collapsed="false">
      <c r="A138" s="24" t="n">
        <v>232</v>
      </c>
      <c r="B138" s="24" t="n">
        <v>243</v>
      </c>
      <c r="C138" s="24" t="s">
        <v>473</v>
      </c>
      <c r="D138" s="24" t="s">
        <v>678</v>
      </c>
      <c r="E138" s="24" t="n">
        <v>1</v>
      </c>
      <c r="F138" s="24" t="s">
        <v>475</v>
      </c>
      <c r="G138" s="24" t="s">
        <v>510</v>
      </c>
      <c r="H138" s="24" t="s">
        <v>582</v>
      </c>
      <c r="I138" s="24" t="s">
        <v>651</v>
      </c>
      <c r="J138" s="36" t="s">
        <v>678</v>
      </c>
      <c r="M138" s="24" t="n">
        <v>111947005601.725</v>
      </c>
    </row>
    <row r="139" customFormat="false" ht="15" hidden="false" customHeight="true" outlineLevel="0" collapsed="false">
      <c r="A139" s="24" t="n">
        <v>233</v>
      </c>
      <c r="B139" s="24" t="n">
        <v>244</v>
      </c>
      <c r="C139" s="24" t="s">
        <v>473</v>
      </c>
      <c r="D139" s="24" t="s">
        <v>679</v>
      </c>
      <c r="E139" s="24" t="n">
        <v>1</v>
      </c>
      <c r="F139" s="24" t="s">
        <v>475</v>
      </c>
      <c r="G139" s="24" t="s">
        <v>518</v>
      </c>
      <c r="H139" s="24" t="s">
        <v>578</v>
      </c>
      <c r="I139" s="24" t="s">
        <v>610</v>
      </c>
      <c r="J139" s="36" t="s">
        <v>679</v>
      </c>
      <c r="M139" s="24" t="n">
        <v>418673286355.038</v>
      </c>
    </row>
    <row r="140" customFormat="false" ht="15" hidden="false" customHeight="true" outlineLevel="0" collapsed="false">
      <c r="A140" s="24" t="n">
        <v>234</v>
      </c>
      <c r="B140" s="24" t="n">
        <v>245</v>
      </c>
      <c r="C140" s="24" t="s">
        <v>473</v>
      </c>
      <c r="D140" s="24" t="s">
        <v>680</v>
      </c>
      <c r="E140" s="24" t="n">
        <v>1</v>
      </c>
      <c r="F140" s="24" t="s">
        <v>475</v>
      </c>
      <c r="G140" s="24" t="s">
        <v>518</v>
      </c>
      <c r="H140" s="24" t="s">
        <v>578</v>
      </c>
      <c r="I140" s="24" t="s">
        <v>681</v>
      </c>
      <c r="J140" s="36" t="s">
        <v>680</v>
      </c>
      <c r="M140" s="24" t="n">
        <v>960505096237.01</v>
      </c>
    </row>
    <row r="141" customFormat="false" ht="15" hidden="false" customHeight="true" outlineLevel="0" collapsed="false">
      <c r="A141" s="24" t="n">
        <v>235</v>
      </c>
      <c r="B141" s="24" t="n">
        <v>246</v>
      </c>
      <c r="C141" s="24" t="s">
        <v>473</v>
      </c>
      <c r="D141" s="24" t="s">
        <v>682</v>
      </c>
      <c r="E141" s="24" t="n">
        <v>1</v>
      </c>
      <c r="F141" s="24" t="s">
        <v>475</v>
      </c>
      <c r="G141" s="24" t="s">
        <v>518</v>
      </c>
      <c r="H141" s="24" t="s">
        <v>578</v>
      </c>
      <c r="I141" s="24" t="s">
        <v>608</v>
      </c>
      <c r="J141" s="36" t="s">
        <v>682</v>
      </c>
      <c r="M141" s="24" t="n">
        <v>990785388531.559</v>
      </c>
    </row>
    <row r="142" customFormat="false" ht="15" hidden="false" customHeight="true" outlineLevel="0" collapsed="false">
      <c r="A142" s="24" t="n">
        <v>236</v>
      </c>
      <c r="B142" s="24" t="n">
        <v>247</v>
      </c>
      <c r="C142" s="24" t="s">
        <v>473</v>
      </c>
      <c r="D142" s="24" t="s">
        <v>683</v>
      </c>
      <c r="E142" s="24" t="n">
        <v>1</v>
      </c>
      <c r="F142" s="24" t="s">
        <v>475</v>
      </c>
      <c r="G142" s="24" t="s">
        <v>518</v>
      </c>
      <c r="H142" s="24" t="s">
        <v>578</v>
      </c>
      <c r="I142" s="24" t="s">
        <v>681</v>
      </c>
      <c r="J142" s="36" t="s">
        <v>683</v>
      </c>
      <c r="M142" s="24" t="n">
        <v>1810986046022.38</v>
      </c>
    </row>
    <row r="143" customFormat="false" ht="15" hidden="false" customHeight="true" outlineLevel="0" collapsed="false">
      <c r="A143" s="24" t="n">
        <v>237</v>
      </c>
      <c r="B143" s="24" t="n">
        <v>248</v>
      </c>
      <c r="C143" s="24" t="s">
        <v>473</v>
      </c>
      <c r="D143" s="24" t="s">
        <v>684</v>
      </c>
      <c r="E143" s="24" t="n">
        <v>1</v>
      </c>
      <c r="F143" s="24" t="s">
        <v>475</v>
      </c>
      <c r="G143" s="24" t="s">
        <v>510</v>
      </c>
      <c r="H143" s="24" t="s">
        <v>511</v>
      </c>
      <c r="I143" s="24" t="s">
        <v>602</v>
      </c>
      <c r="J143" s="36" t="s">
        <v>684</v>
      </c>
      <c r="M143" s="24" t="n">
        <v>62661971418.1348</v>
      </c>
    </row>
  </sheetData>
  <hyperlinks>
    <hyperlink ref="Q4" r:id="rId1" display="http://gis.ices.dk/sf/index.html?widget=StatRec"/>
    <hyperlink ref="Q5" r:id="rId2" display="http://www.fao.org/fishery/area/search/e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0.6796875" defaultRowHeight="12.75" zeroHeight="false" outlineLevelRow="0" outlineLevelCol="0"/>
  <sheetData>
    <row r="1" customFormat="false" ht="15" hidden="false" customHeight="true" outlineLevel="0" collapsed="false">
      <c r="A1" s="23" t="s">
        <v>685</v>
      </c>
      <c r="B1" s="23" t="s">
        <v>686</v>
      </c>
      <c r="C1" s="23"/>
    </row>
    <row r="2" customFormat="false" ht="15" hidden="false" customHeight="true" outlineLevel="0" collapsed="false">
      <c r="A2" s="37" t="s">
        <v>121</v>
      </c>
      <c r="B2" s="37" t="s">
        <v>687</v>
      </c>
      <c r="C2" s="38"/>
      <c r="D2" s="39" t="s">
        <v>688</v>
      </c>
    </row>
    <row r="3" customFormat="false" ht="15" hidden="false" customHeight="true" outlineLevel="0" collapsed="false">
      <c r="A3" s="28" t="s">
        <v>689</v>
      </c>
      <c r="B3" s="28" t="s">
        <v>690</v>
      </c>
    </row>
    <row r="4" customFormat="false" ht="15" hidden="false" customHeight="true" outlineLevel="0" collapsed="false">
      <c r="A4" s="28" t="s">
        <v>691</v>
      </c>
      <c r="B4" s="28" t="s">
        <v>692</v>
      </c>
    </row>
    <row r="5" customFormat="false" ht="15" hidden="false" customHeight="true" outlineLevel="0" collapsed="false">
      <c r="A5" s="28" t="s">
        <v>693</v>
      </c>
      <c r="B5" s="28" t="s">
        <v>694</v>
      </c>
    </row>
    <row r="6" customFormat="false" ht="15" hidden="false" customHeight="true" outlineLevel="0" collapsed="false">
      <c r="A6" s="24" t="s">
        <v>695</v>
      </c>
      <c r="B6" s="24" t="s">
        <v>696</v>
      </c>
      <c r="C6"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10.6796875" defaultRowHeight="12.75" zeroHeight="false" outlineLevelRow="0" outlineLevelCol="0"/>
  <cols>
    <col collapsed="false" customWidth="true" hidden="false" outlineLevel="0" max="3" min="3" style="0" width="74.13"/>
  </cols>
  <sheetData>
    <row r="1" customFormat="false" ht="15" hidden="false" customHeight="true" outlineLevel="0" collapsed="false">
      <c r="A1" s="40" t="s">
        <v>697</v>
      </c>
      <c r="B1" s="40" t="s">
        <v>698</v>
      </c>
      <c r="C1" s="40" t="s">
        <v>699</v>
      </c>
    </row>
    <row r="2" customFormat="false" ht="42.75" hidden="false" customHeight="true" outlineLevel="0" collapsed="false">
      <c r="A2" s="41" t="s">
        <v>121</v>
      </c>
      <c r="B2" s="41" t="s">
        <v>700</v>
      </c>
      <c r="C2" s="41" t="s">
        <v>701</v>
      </c>
    </row>
    <row r="3" customFormat="false" ht="63.75" hidden="false" customHeight="true" outlineLevel="0" collapsed="false">
      <c r="A3" s="41" t="s">
        <v>702</v>
      </c>
      <c r="B3" s="41" t="s">
        <v>703</v>
      </c>
      <c r="C3" s="41" t="s">
        <v>704</v>
      </c>
    </row>
    <row r="4" customFormat="false" ht="57" hidden="false" customHeight="true" outlineLevel="0" collapsed="false">
      <c r="A4" s="41" t="s">
        <v>705</v>
      </c>
      <c r="B4" s="41" t="s">
        <v>706</v>
      </c>
      <c r="C4" s="41" t="s">
        <v>707</v>
      </c>
    </row>
    <row r="5" customFormat="false" ht="72" hidden="false" customHeight="true" outlineLevel="0" collapsed="false">
      <c r="A5" s="42" t="s">
        <v>708</v>
      </c>
      <c r="B5" s="42" t="s">
        <v>709</v>
      </c>
      <c r="C5" s="42" t="s">
        <v>710</v>
      </c>
      <c r="D5" s="32" t="s">
        <v>711</v>
      </c>
      <c r="E5" s="32"/>
    </row>
    <row r="6" customFormat="false" ht="12.75" hidden="false" customHeight="false" outlineLevel="0" collapsed="false">
      <c r="A6" s="43" t="s">
        <v>712</v>
      </c>
      <c r="B6" s="43" t="s">
        <v>713</v>
      </c>
      <c r="C6" s="43" t="s">
        <v>714</v>
      </c>
      <c r="D6" s="32" t="s">
        <v>711</v>
      </c>
      <c r="E6" s="32"/>
    </row>
    <row r="7" customFormat="false" ht="12.75" hidden="false" customHeight="false" outlineLevel="0" collapsed="false">
      <c r="A7" s="43" t="s">
        <v>715</v>
      </c>
      <c r="B7" s="43" t="s">
        <v>716</v>
      </c>
      <c r="C7" s="43" t="s">
        <v>717</v>
      </c>
      <c r="D7" s="32" t="s">
        <v>711</v>
      </c>
    </row>
    <row r="8" customFormat="false" ht="23.85" hidden="false" customHeight="false" outlineLevel="0" collapsed="false">
      <c r="A8" s="44" t="s">
        <v>718</v>
      </c>
      <c r="B8" s="44" t="s">
        <v>719</v>
      </c>
      <c r="C8" s="45" t="s">
        <v>720</v>
      </c>
      <c r="D8" s="46" t="s">
        <v>721</v>
      </c>
    </row>
    <row r="9" customFormat="false" ht="12.75" hidden="false" customHeight="false" outlineLevel="0" collapsed="false">
      <c r="A9" s="0" t="s">
        <v>722</v>
      </c>
      <c r="B9" s="0" t="s">
        <v>723</v>
      </c>
      <c r="C9" s="0" t="s">
        <v>724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2.75" zeroHeight="false" outlineLevelRow="0" outlineLevelCol="0"/>
  <cols>
    <col collapsed="false" customWidth="true" hidden="false" outlineLevel="0" max="1" min="1" style="0" width="18"/>
    <col collapsed="false" customWidth="true" hidden="false" outlineLevel="0" max="2" min="2" style="0" width="65.4"/>
  </cols>
  <sheetData>
    <row r="1" customFormat="false" ht="12.75" hidden="false" customHeight="false" outlineLevel="0" collapsed="false">
      <c r="A1" s="47" t="s">
        <v>725</v>
      </c>
      <c r="B1" s="47" t="s">
        <v>726</v>
      </c>
    </row>
    <row r="2" customFormat="false" ht="12.75" hidden="false" customHeight="false" outlineLevel="0" collapsed="false">
      <c r="A2" s="0" t="s">
        <v>411</v>
      </c>
      <c r="B2" s="0" t="s">
        <v>727</v>
      </c>
    </row>
    <row r="3" customFormat="false" ht="12.75" hidden="false" customHeight="false" outlineLevel="0" collapsed="false">
      <c r="A3" s="0" t="s">
        <v>728</v>
      </c>
      <c r="B3" s="0" t="s">
        <v>729</v>
      </c>
    </row>
    <row r="4" customFormat="false" ht="12.75" hidden="false" customHeight="false" outlineLevel="0" collapsed="false">
      <c r="A4" s="0" t="s">
        <v>730</v>
      </c>
      <c r="B4" s="0" t="s">
        <v>731</v>
      </c>
    </row>
    <row r="5" customFormat="false" ht="12.75" hidden="false" customHeight="false" outlineLevel="0" collapsed="false">
      <c r="A5" s="0" t="s">
        <v>732</v>
      </c>
      <c r="B5" s="0" t="s">
        <v>733</v>
      </c>
    </row>
    <row r="6" customFormat="false" ht="12.75" hidden="false" customHeight="false" outlineLevel="0" collapsed="false">
      <c r="A6" s="0" t="s">
        <v>734</v>
      </c>
      <c r="B6" s="0" t="s">
        <v>735</v>
      </c>
    </row>
    <row r="7" customFormat="false" ht="12.75" hidden="false" customHeight="false" outlineLevel="0" collapsed="false">
      <c r="A7" s="0" t="s">
        <v>736</v>
      </c>
      <c r="B7" s="0" t="s">
        <v>737</v>
      </c>
    </row>
    <row r="8" customFormat="false" ht="12.75" hidden="false" customHeight="false" outlineLevel="0" collapsed="false">
      <c r="A8" s="0" t="s">
        <v>738</v>
      </c>
      <c r="B8" s="0" t="s">
        <v>739</v>
      </c>
    </row>
    <row r="9" customFormat="false" ht="12.75" hidden="false" customHeight="false" outlineLevel="0" collapsed="false">
      <c r="A9" s="0" t="s">
        <v>408</v>
      </c>
      <c r="B9" s="0" t="s">
        <v>740</v>
      </c>
    </row>
    <row r="10" customFormat="false" ht="12.75" hidden="false" customHeight="false" outlineLevel="0" collapsed="false">
      <c r="A10" s="0" t="s">
        <v>435</v>
      </c>
      <c r="B10" s="0" t="s">
        <v>741</v>
      </c>
    </row>
    <row r="11" customFormat="false" ht="12.75" hidden="false" customHeight="false" outlineLevel="0" collapsed="false">
      <c r="A11" s="0" t="s">
        <v>424</v>
      </c>
      <c r="B11" s="15" t="s">
        <v>742</v>
      </c>
    </row>
    <row r="12" customFormat="false" ht="12.75" hidden="false" customHeight="false" outlineLevel="0" collapsed="false">
      <c r="A12" s="0" t="s">
        <v>743</v>
      </c>
      <c r="B12" s="0" t="s">
        <v>744</v>
      </c>
    </row>
    <row r="13" customFormat="false" ht="12.75" hidden="false" customHeight="false" outlineLevel="0" collapsed="false">
      <c r="A13" s="0" t="s">
        <v>745</v>
      </c>
      <c r="B13" s="0" t="s">
        <v>746</v>
      </c>
    </row>
    <row r="14" customFormat="false" ht="12.75" hidden="false" customHeight="false" outlineLevel="0" collapsed="false">
      <c r="A14" s="0" t="s">
        <v>747</v>
      </c>
      <c r="B14" s="0" t="s">
        <v>748</v>
      </c>
    </row>
    <row r="15" customFormat="false" ht="12.75" hidden="false" customHeight="false" outlineLevel="0" collapsed="false">
      <c r="A15" s="0" t="s">
        <v>749</v>
      </c>
      <c r="B15" s="0" t="s">
        <v>750</v>
      </c>
    </row>
    <row r="16" customFormat="false" ht="12.75" hidden="false" customHeight="false" outlineLevel="0" collapsed="false">
      <c r="A16" s="0" t="s">
        <v>751</v>
      </c>
      <c r="B16" s="0" t="s">
        <v>752</v>
      </c>
    </row>
    <row r="17" customFormat="false" ht="12.75" hidden="false" customHeight="false" outlineLevel="0" collapsed="false">
      <c r="A17" s="0" t="s">
        <v>753</v>
      </c>
      <c r="B17" s="0" t="s">
        <v>754</v>
      </c>
    </row>
    <row r="18" customFormat="false" ht="12.75" hidden="false" customHeight="false" outlineLevel="0" collapsed="false">
      <c r="A18" s="0" t="s">
        <v>413</v>
      </c>
      <c r="B18" s="0" t="s">
        <v>755</v>
      </c>
    </row>
    <row r="19" customFormat="false" ht="12.75" hidden="false" customHeight="false" outlineLevel="0" collapsed="false">
      <c r="A19" s="0" t="s">
        <v>756</v>
      </c>
      <c r="B19" s="0" t="s">
        <v>757</v>
      </c>
    </row>
    <row r="20" customFormat="false" ht="12.75" hidden="false" customHeight="false" outlineLevel="0" collapsed="false">
      <c r="A20" s="0" t="s">
        <v>758</v>
      </c>
      <c r="B20" s="0" t="s">
        <v>759</v>
      </c>
    </row>
    <row r="21" customFormat="false" ht="12.75" hidden="false" customHeight="false" outlineLevel="0" collapsed="false">
      <c r="A21" s="0" t="s">
        <v>760</v>
      </c>
      <c r="B21" s="0" t="s">
        <v>761</v>
      </c>
    </row>
    <row r="22" customFormat="false" ht="12.75" hidden="false" customHeight="false" outlineLevel="0" collapsed="false">
      <c r="A22" s="15" t="s">
        <v>762</v>
      </c>
      <c r="B22" s="48" t="s">
        <v>763</v>
      </c>
    </row>
    <row r="23" customFormat="false" ht="12.75" hidden="false" customHeight="false" outlineLevel="0" collapsed="false">
      <c r="A23" s="0" t="s">
        <v>764</v>
      </c>
      <c r="B23" s="15" t="s">
        <v>765</v>
      </c>
    </row>
    <row r="24" customFormat="false" ht="12.75" hidden="false" customHeight="false" outlineLevel="0" collapsed="false">
      <c r="A24" s="0" t="s">
        <v>428</v>
      </c>
      <c r="B24" s="0" t="s">
        <v>766</v>
      </c>
    </row>
    <row r="25" customFormat="false" ht="12.75" hidden="false" customHeight="false" outlineLevel="0" collapsed="false">
      <c r="A25" s="0" t="s">
        <v>767</v>
      </c>
      <c r="B25" s="0" t="s">
        <v>768</v>
      </c>
    </row>
    <row r="26" customFormat="false" ht="12.75" hidden="false" customHeight="false" outlineLevel="0" collapsed="false">
      <c r="A26" s="0" t="s">
        <v>417</v>
      </c>
      <c r="B26" s="0" t="s">
        <v>769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2017-07-17T13:31:54Z</dcterms:created>
  <dc:creator>Cédric Briand</dc:creator>
  <dc:description/>
  <dc:language>fr-FR</dc:language>
  <cp:lastModifiedBy>Cédric Briand</cp:lastModifiedBy>
  <dcterms:modified xsi:type="dcterms:W3CDTF">2024-09-12T08:02:05Z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